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5D9508A4-1738-40DD-8662-E25FB46EAB54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Summary" sheetId="1" r:id="rId1"/>
    <sheet name="All Runs" sheetId="2" r:id="rId2"/>
    <sheet name="Lege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G26" i="1"/>
  <c r="F26" i="1"/>
  <c r="E26" i="1"/>
  <c r="D26" i="1"/>
  <c r="C26" i="1"/>
  <c r="J26" i="1" s="1"/>
  <c r="B26" i="1"/>
  <c r="I25" i="1"/>
  <c r="H25" i="1"/>
  <c r="G25" i="1"/>
  <c r="F25" i="1"/>
  <c r="E25" i="1"/>
  <c r="D25" i="1"/>
  <c r="C25" i="1"/>
  <c r="J25" i="1" s="1"/>
  <c r="B25" i="1"/>
  <c r="I19" i="1"/>
  <c r="H19" i="1"/>
  <c r="G19" i="1"/>
  <c r="F19" i="1"/>
  <c r="E19" i="1"/>
  <c r="D19" i="1"/>
  <c r="C19" i="1"/>
  <c r="B19" i="1"/>
  <c r="I18" i="1"/>
  <c r="H18" i="1"/>
  <c r="G18" i="1"/>
  <c r="F18" i="1"/>
  <c r="E18" i="1"/>
  <c r="D18" i="1"/>
  <c r="C18" i="1"/>
  <c r="J18" i="1" s="1"/>
  <c r="B18" i="1"/>
  <c r="I17" i="1"/>
  <c r="H17" i="1"/>
  <c r="G17" i="1"/>
  <c r="F17" i="1"/>
  <c r="E17" i="1"/>
  <c r="D17" i="1"/>
  <c r="C17" i="1"/>
  <c r="J17" i="1" s="1"/>
  <c r="B17" i="1"/>
  <c r="I16" i="1"/>
  <c r="H16" i="1"/>
  <c r="G16" i="1"/>
  <c r="F16" i="1"/>
  <c r="E16" i="1"/>
  <c r="D16" i="1"/>
  <c r="C16" i="1"/>
  <c r="J16" i="1" s="1"/>
  <c r="B16" i="1"/>
  <c r="I15" i="1"/>
  <c r="H15" i="1"/>
  <c r="G15" i="1"/>
  <c r="F15" i="1"/>
  <c r="E15" i="1"/>
  <c r="D15" i="1"/>
  <c r="C15" i="1"/>
  <c r="J15" i="1" s="1"/>
  <c r="B15" i="1"/>
  <c r="I9" i="1"/>
  <c r="H9" i="1"/>
  <c r="G9" i="1"/>
  <c r="F9" i="1"/>
  <c r="E9" i="1"/>
  <c r="D9" i="1"/>
  <c r="C9" i="1"/>
  <c r="B9" i="1"/>
  <c r="I8" i="1"/>
  <c r="H8" i="1"/>
  <c r="G8" i="1"/>
  <c r="F8" i="1"/>
  <c r="E8" i="1"/>
  <c r="D8" i="1"/>
  <c r="C8" i="1"/>
  <c r="B8" i="1"/>
  <c r="I7" i="1"/>
  <c r="H7" i="1"/>
  <c r="G7" i="1"/>
  <c r="F7" i="1"/>
  <c r="E7" i="1"/>
  <c r="D7" i="1"/>
  <c r="C7" i="1"/>
  <c r="B7" i="1"/>
  <c r="J19" i="1" l="1"/>
  <c r="J8" i="1"/>
  <c r="J9" i="1"/>
  <c r="J7" i="1"/>
</calcChain>
</file>

<file path=xl/sharedStrings.xml><?xml version="1.0" encoding="utf-8"?>
<sst xmlns="http://schemas.openxmlformats.org/spreadsheetml/2006/main" count="508" uniqueCount="212">
  <si>
    <t>UCH Game Performance — test log</t>
  </si>
  <si>
    <t>Automated in-game benchmarks of the "UCH Game Performance" mod (author: nexus) on Ultimate Chicken Horse. Test map: UCH level code 800M-VDMW (a real map plus every block placed in competitive play). PC: Ryzen 5 5600X, RTX 4060, 1920x1080, free play, 1 player, FPS cap lifted. All numbers below are averages over the listed runs, calculated live from the "All Runs" sheet.</t>
  </si>
  <si>
    <t>1. Final result — comp test map (heavy, real-map style)</t>
  </si>
  <si>
    <t>Map with every block placed in competitive play (2,848 blocks, 2,924 physics bodies). 30 s per run, restart per run, FPS cap lifted. This is the headline comparison.</t>
  </si>
  <si>
    <t>Configuration</t>
  </si>
  <si>
    <t>Runs</t>
  </si>
  <si>
    <t>Mean FPS</t>
  </si>
  <si>
    <t>p95 frame (ms)</t>
  </si>
  <si>
    <t>p99 frame (ms)</t>
  </si>
  <si>
    <t>Max frame (ms)</t>
  </si>
  <si>
    <t>Frames &gt;8.33 ms</t>
  </si>
  <si>
    <t>Physics-step frame (ms)</t>
  </si>
  <si>
    <t>Frame without step (ms)</t>
  </si>
  <si>
    <t>FPS vs first row</t>
  </si>
  <si>
    <t>Vanilla (mod switched off)</t>
  </si>
  <si>
    <t>2.2.0 level (2.3 features off)</t>
  </si>
  <si>
    <t>2.3.0 (all features)</t>
  </si>
  <si>
    <t>2. Feature matrix — what each new feature adds (comp test map)</t>
  </si>
  <si>
    <t>Earlier 2.3.0 build (before CentralPlaceableTick and AudioEmitterIdleSkip existed). Shows the two biggest features alone and together.</t>
  </si>
  <si>
    <t>2.2.0 level (new features off)</t>
  </si>
  <si>
    <t>+ CentralBlockLoops only</t>
  </si>
  <si>
    <t>+ StaticBlocks only</t>
  </si>
  <si>
    <t>+ both (CentralBlockLoops + StaticBlocks)</t>
  </si>
  <si>
    <t>3. First comp-map comparison — 2.2.0 vs vanilla</t>
  </si>
  <si>
    <t>First runs on the comp test map, before 2.3.0 existed. Shows that 2.2.0 already fixed most of the lag on this map.</t>
  </si>
  <si>
    <t>2.2.0</t>
  </si>
  <si>
    <t>How to read this</t>
  </si>
  <si>
    <t>• Higher Mean FPS is better; lower frame times (ms) and fewer slow frames are better.</t>
  </si>
  <si>
    <t>• "Frames &gt;8.33 ms" = frames slower than 120 FPS in a 30 s run: these are the visible stutters.</t>
  </si>
  <si>
    <t>• UCH simulates physics 60 times per second; frames that contain a physics step are the slow ones, so "Physics-step frame" is the key lag number.</t>
  </si>
  <si>
    <t>• Configuration names come from the mod settings saved in each run report. See "Legend" for every column and caveats.</t>
  </si>
  <si>
    <t>• Runs vary by about ±2-5 % between identical setups; compare averages of several runs, not single runs.</t>
  </si>
  <si>
    <t>Run ID</t>
  </si>
  <si>
    <t>Date</t>
  </si>
  <si>
    <t>Label</t>
  </si>
  <si>
    <t>Series</t>
  </si>
  <si>
    <t>Map</t>
  </si>
  <si>
    <t>Mod config</t>
  </si>
  <si>
    <t>FPS cap</t>
  </si>
  <si>
    <t>Probes</t>
  </si>
  <si>
    <t>Duration (s)</t>
  </si>
  <si>
    <t>p50 frame (ms)</t>
  </si>
  <si>
    <t>Frames &gt;4.17 ms</t>
  </si>
  <si>
    <t>Frames &gt;16.67 ms</t>
  </si>
  <si>
    <t>Slowest 5% frame (ms)</t>
  </si>
  <si>
    <t>Step frames</t>
  </si>
  <si>
    <t>FixedUpdate per step (ms)</t>
  </si>
  <si>
    <t>Physics bracket per step (ms)</t>
  </si>
  <si>
    <t>Unbracketed per step (ms)</t>
  </si>
  <si>
    <t>Update mean (ms)</t>
  </si>
  <si>
    <t>Render bracket mean (ms)</t>
  </si>
  <si>
    <t>Anim/coroutine gap mean (ms)</t>
  </si>
  <si>
    <t>Present gap mean (ms)</t>
  </si>
  <si>
    <t>Draw calls mean</t>
  </si>
  <si>
    <t>Bodies</t>
  </si>
  <si>
    <t>Awake bodies</t>
  </si>
  <si>
    <t>Static bodies</t>
  </si>
  <si>
    <t>ActiveBlocks</t>
  </si>
  <si>
    <t>Placeables</t>
  </si>
  <si>
    <t>Animators</t>
  </si>
  <si>
    <t>Projectiles</t>
  </si>
  <si>
    <t>GC (gen0)</t>
  </si>
  <si>
    <t>Perf mod version</t>
  </si>
  <si>
    <t>Perf Test version</t>
  </si>
  <si>
    <t>Notes</t>
  </si>
  <si>
    <t>20261024-225337_comp-vanilla-a</t>
  </si>
  <si>
    <t>comp-vanilla-a</t>
  </si>
  <si>
    <t>Comp map first A/B</t>
  </si>
  <si>
    <t>Comp test map (code 800M-VDMW)</t>
  </si>
  <si>
    <t>Vanilla (perf mod switched off)</t>
  </si>
  <si>
    <t>Uncapped (game target 1000)</t>
  </si>
  <si>
    <t>OFF</t>
  </si>
  <si>
    <t>1.2.0</t>
  </si>
  <si>
    <t>First runs on the comp test map with 2.2.0, cap lifted to 1000.</t>
  </si>
  <si>
    <t>20261024-225520_comp-perf-a</t>
  </si>
  <si>
    <t>comp-perf-a</t>
  </si>
  <si>
    <t>20261024-225701_comp-perf-b</t>
  </si>
  <si>
    <t>comp-perf-b</t>
  </si>
  <si>
    <t>20261024-225843_comp-vanilla-b</t>
  </si>
  <si>
    <t>comp-vanilla-b</t>
  </si>
  <si>
    <t>20261024-230710_exp-base</t>
  </si>
  <si>
    <t>exp-base</t>
  </si>
  <si>
    <t>Live experiments</t>
  </si>
  <si>
    <t>Baseline for live experiments (2.2.0).</t>
  </si>
  <si>
    <t>20261024-230752_exp-sleep</t>
  </si>
  <si>
    <t>exp-sleep</t>
  </si>
  <si>
    <t>1,866 plain blocks set to sleep.</t>
  </si>
  <si>
    <t>20261024-230824_exp-static</t>
  </si>
  <si>
    <t>exp-static</t>
  </si>
  <si>
    <t>1,866 plain blocks switched to Static (became Physics/StaticBlocks).</t>
  </si>
  <si>
    <t>20261024-230923_exp-static2</t>
  </si>
  <si>
    <t>exp-static2</t>
  </si>
  <si>
    <t>+292 more non-mover bodies Static (no extra gain).</t>
  </si>
  <si>
    <t>20261024-231055_exp-static2-noMLB</t>
  </si>
  <si>
    <t>exp-static2-noMLB</t>
  </si>
  <si>
    <t>+428 MovingLevelBlock act coroutines stopped (became CPU/CentralBlockLoops).</t>
  </si>
  <si>
    <t>20261024-231320_exp-noPlaceableFixed</t>
  </si>
  <si>
    <t>exp-noPlaceableFixed</t>
  </si>
  <si>
    <t>1,908 plain Placeables disabled (became CPU/CentralPlaceableTick). Noisy: research agents were using CPU.</t>
  </si>
  <si>
    <t>20261024-232532_v230-first</t>
  </si>
  <si>
    <t>v230-first</t>
  </si>
  <si>
    <t>Dev builds 2.3.0</t>
  </si>
  <si>
    <t>2.3.0 full</t>
  </si>
  <si>
    <t>2.3.0</t>
  </si>
  <si>
    <t>Single checks while developing 2.3.0.</t>
  </si>
  <si>
    <t>20261024-232857_m-base-a</t>
  </si>
  <si>
    <t>m-base-a</t>
  </si>
  <si>
    <t>Feature matrix</t>
  </si>
  <si>
    <t>2.2-equivalent (2.3 features off)</t>
  </si>
  <si>
    <t>Restart per run: 2.2-equivalent, each new feature alone, both (before tick/audio features existed).</t>
  </si>
  <si>
    <t>20261024-233039_m-both-a</t>
  </si>
  <si>
    <t>m-both-a</t>
  </si>
  <si>
    <t>20261024-233224_m-static-a</t>
  </si>
  <si>
    <t>m-static-a</t>
  </si>
  <si>
    <t>2.3.0 without CentralBlockLoops</t>
  </si>
  <si>
    <t>20261024-233407_m-dispatch-a</t>
  </si>
  <si>
    <t>m-dispatch-a</t>
  </si>
  <si>
    <t>2.3.0 without StaticBlocks</t>
  </si>
  <si>
    <t>20261024-233551_m-vanilla-a</t>
  </si>
  <si>
    <t>m-vanilla-a</t>
  </si>
  <si>
    <t>20261024-233734_m-vanilla-b</t>
  </si>
  <si>
    <t>m-vanilla-b</t>
  </si>
  <si>
    <t>20261024-233915_m-dispatch-b</t>
  </si>
  <si>
    <t>m-dispatch-b</t>
  </si>
  <si>
    <t>20261024-234059_m-static-b</t>
  </si>
  <si>
    <t>m-static-b</t>
  </si>
  <si>
    <t>20261024-234241_m-both-b</t>
  </si>
  <si>
    <t>m-both-b</t>
  </si>
  <si>
    <t>20261024-234425_m-base-b</t>
  </si>
  <si>
    <t>m-base-b</t>
  </si>
  <si>
    <t>20261024-235000_v230-tick</t>
  </si>
  <si>
    <t>v230-tick</t>
  </si>
  <si>
    <t>20261024-235041_abl-base</t>
  </si>
  <si>
    <t>abl-base</t>
  </si>
  <si>
    <t>Update ablation</t>
  </si>
  <si>
    <t>Baseline for Update ablation (2.3.0 dev).</t>
  </si>
  <si>
    <t>20261024-235100_abl-AkGameObj</t>
  </si>
  <si>
    <t>abl-AkGameObj</t>
  </si>
  <si>
    <t>286 sound emitters disabled (became CPU/AudioEmitterIdleSkip).</t>
  </si>
  <si>
    <t>20261024-235119_abl-AttachmentIndicator</t>
  </si>
  <si>
    <t>abl-AttachmentIndicator</t>
  </si>
  <si>
    <t>+116 attachment indicators disabled.</t>
  </si>
  <si>
    <t>20261024-235138_abl-CanAttachIndicator</t>
  </si>
  <si>
    <t>abl-CanAttachIndicator</t>
  </si>
  <si>
    <t>+95 glue indicators disabled.</t>
  </si>
  <si>
    <t>20261024-235156_abl-PickableBlock</t>
  </si>
  <si>
    <t>abl-PickableBlock</t>
  </si>
  <si>
    <t>+85 PickableBlock disabled.</t>
  </si>
  <si>
    <t>20261024-235519_v230-audio</t>
  </si>
  <si>
    <t>v230-audio</t>
  </si>
  <si>
    <t>20261024-235553_sleep-base</t>
  </si>
  <si>
    <t>sleep-base</t>
  </si>
  <si>
    <t>Baseline (2.3.0 dev).</t>
  </si>
  <si>
    <t>20261024-235611_sleep-rest</t>
  </si>
  <si>
    <t>sleep-rest</t>
  </si>
  <si>
    <t>258 animated stationary blocks set to sleep (rejected: trigger risk).</t>
  </si>
  <si>
    <t>20261024-235705_fullview-v230</t>
  </si>
  <si>
    <t>fullview-v230</t>
  </si>
  <si>
    <t>Attempted full-map camera (did not take effect).</t>
  </si>
  <si>
    <t>20261025-000050_f-base-a</t>
  </si>
  <si>
    <t>f-base-a</t>
  </si>
  <si>
    <t>Final A/B (2.3.0)</t>
  </si>
  <si>
    <t>Restart per run, cap lifted to 1000: vanilla vs 2.2-equivalent (2.3 features off) vs 2.3.0.</t>
  </si>
  <si>
    <t>20261025-000233_f-full-a</t>
  </si>
  <si>
    <t>f-full-a</t>
  </si>
  <si>
    <t>20261025-000417_f-vanilla-a</t>
  </si>
  <si>
    <t>f-vanilla-a</t>
  </si>
  <si>
    <t>20261025-000600_f-vanilla-b</t>
  </si>
  <si>
    <t>f-vanilla-b</t>
  </si>
  <si>
    <t>20261025-000742_f-full-b</t>
  </si>
  <si>
    <t>f-full-b</t>
  </si>
  <si>
    <t>20261025-000924_f-base-b</t>
  </si>
  <si>
    <t>f-base-b</t>
  </si>
  <si>
    <t>Legend &amp; method</t>
  </si>
  <si>
    <t>Test setup</t>
  </si>
  <si>
    <t>Hardware</t>
  </si>
  <si>
    <t>AMD Ryzen 5 5600X, NVIDIA RTX 4060, 1920x1080, VSync off.</t>
  </si>
  <si>
    <t>Procedure</t>
  </si>
  <si>
    <t>Fully automated through an in-game automation bridge: launch UCH, enter free play on the map, invincible chicken, 15 s warm-up, then record (30 s for A/B runs, 15-20 s for live experiments). Restart between configurations because mod settings are read at game start.</t>
  </si>
  <si>
    <t>Order</t>
  </si>
  <si>
    <t>A/B runs use mirrored order (A, B, B, A) to cancel drift. Only the measurement tool, the perf mod, the automation bridge and one art mod were loaded.</t>
  </si>
  <si>
    <t>FPS caps</t>
  </si>
  <si>
    <t>All runs lifted the NVIDIA cap, driver VSync and the game's own 300 FPS target (raised to 1000 at runtime, test only), so results are not hidden by a cap.</t>
  </si>
  <si>
    <t>Comp test map, UCH level code 800M-VDMW: a real map plus every block placed in competitive play: 2,848 blocks, 933 active blocks, 2,924 physics bodies, 107 ferris wheels. Earlier runs on a lighter test map were capped and are not included.</t>
  </si>
  <si>
    <t>Series "Live experiments", "Update ablation": changes applied inside one running game for testing only (not mod features). They show what a change could gain before it was built properly.</t>
  </si>
  <si>
    <t>Columns</t>
  </si>
  <si>
    <t>Frames divided by total time over the run (not an average of per-frame FPS).</t>
  </si>
  <si>
    <t>p50/p95/p99/Max frame</t>
  </si>
  <si>
    <t>Frame time percentiles in milliseconds: p99 = 99 % of frames were faster than this.</t>
  </si>
  <si>
    <t>Frames &gt;4.17 / &gt;8.33 / &gt;16.67 ms</t>
  </si>
  <si>
    <t>Number of frames slower than 240 / 120 / 60 FPS during the run.</t>
  </si>
  <si>
    <t>Physics-step frame</t>
  </si>
  <si>
    <t>Average duration of frames that contained a physics step (60 per second). Where the lag lives.</t>
  </si>
  <si>
    <t>Frame without step</t>
  </si>
  <si>
    <t>Average duration of frames without a physics step.</t>
  </si>
  <si>
    <t>Slowest 5% frame</t>
  </si>
  <si>
    <t>Average of the slowest 5 % of frames.</t>
  </si>
  <si>
    <t>FixedUpdate / Physics bracket / Unbracketed per step</t>
  </si>
  <si>
    <t>Timing buckets inside physics-step frames. The physics bracket ends at the measurement tool's own after-physics callback, so per-block loops run after it land in "Unbracketed" (vanilla/2.2) or inside the bracket (2.3.0 runs them earlier). Compare whole-frame numbers across versions.</t>
  </si>
  <si>
    <t>Update / Render / Anim gap / Present gap</t>
  </si>
  <si>
    <t>Average per-frame time for scripts' Update, render submission, animators+particles+coroutines, and present/input.</t>
  </si>
  <si>
    <t>Draw calls</t>
  </si>
  <si>
    <t>Unity draw calls per frame (free-play camera follows the player).</t>
  </si>
  <si>
    <t>Bodies / Awake / Static / ActiveBlocks / Placeables / Animators / Projectiles</t>
  </si>
  <si>
    <t>Scene census taken during the run (averages of census passes).</t>
  </si>
  <si>
    <t>Garbage collections during the run.</t>
  </si>
  <si>
    <t>Derived from the mod settings snapshot in each report: "2.2-equivalent" = 2.3.0 with its four new features switched off.</t>
  </si>
  <si>
    <t>Caveats</t>
  </si>
  <si>
    <t>Scope</t>
  </si>
  <si>
    <t>All runs are local free play with one player. Real versus rounds and online play were not benchmarked.</t>
  </si>
  <si>
    <t>Noise</t>
  </si>
  <si>
    <t>Identical runs differ by about ±2-5 %. One live experiment (exp-noPlaceableFixed) ran while other CPU work was active and is noisy.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</si>
</sst>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"/>
    <numFmt numFmtId="166" formatCode="0.0"/>
    <numFmt numFmtId="167" formatCode="0.00&quot;x&quot;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4"/>
      <name val="Arial"/>
    </font>
    <font>
      <i/>
      <sz val="10"/>
      <color rgb="FF595959"/>
      <name val="Arial"/>
    </font>
    <font>
      <b/>
      <sz val="12"/>
      <name val="Arial"/>
    </font>
    <font>
      <b/>
      <sz val="10"/>
      <name val="Arial"/>
    </font>
    <font>
      <b/>
      <sz val="11"/>
      <color rgb="FF1F4E78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8" fillId="0" borderId="0" xfId="0" applyFont="1"/>
    <xf numFmtId="0" fontId="5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1" fillId="0" borderId="1" xfId="0" applyFont="1" applyBorder="1"/>
    <xf numFmtId="166" fontId="1" fillId="0" borderId="1" xfId="0" applyNumberFormat="1" applyFont="1" applyBorder="1"/>
    <xf numFmtId="2" fontId="1" fillId="0" borderId="1" xfId="0" applyNumberFormat="1" applyFont="1" applyBorder="1"/>
    <xf numFmtId="3" fontId="1" fillId="0" borderId="1" xfId="0" applyNumberFormat="1" applyFont="1" applyBorder="1"/>
    <xf numFmtId="167" fontId="1" fillId="0" borderId="1" xfId="0" applyNumberFormat="1" applyFont="1" applyBorder="1"/>
    <xf numFmtId="0" fontId="6" fillId="3" borderId="1" xfId="0" applyFont="1" applyFill="1" applyBorder="1"/>
    <xf numFmtId="0" fontId="1" fillId="3" borderId="1" xfId="0" applyFont="1" applyFill="1" applyBorder="1"/>
    <xf numFmtId="166" fontId="1" fillId="3" borderId="1" xfId="0" applyNumberFormat="1" applyFont="1" applyFill="1" applyBorder="1"/>
    <xf numFmtId="2" fontId="1" fillId="3" borderId="1" xfId="0" applyNumberFormat="1" applyFont="1" applyFill="1" applyBorder="1"/>
    <xf numFmtId="3" fontId="1" fillId="3" borderId="1" xfId="0" applyNumberFormat="1" applyFont="1" applyFill="1" applyBorder="1"/>
    <xf numFmtId="167" fontId="1" fillId="3" borderId="1" xfId="0" applyNumberFormat="1" applyFont="1" applyFill="1" applyBorder="1"/>
    <xf numFmtId="0" fontId="6" fillId="4" borderId="1" xfId="0" applyFont="1" applyFill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2" fontId="1" fillId="4" borderId="1" xfId="0" applyNumberFormat="1" applyFont="1" applyFill="1" applyBorder="1"/>
    <xf numFmtId="3" fontId="1" fillId="4" borderId="1" xfId="0" applyNumberFormat="1" applyFont="1" applyFill="1" applyBorder="1"/>
    <xf numFmtId="167" fontId="1" fillId="4" borderId="1" xfId="0" applyNumberFormat="1" applyFont="1" applyFill="1" applyBorder="1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2" fontId="1" fillId="0" borderId="0" xfId="0" applyNumberFormat="1" applyFont="1"/>
    <xf numFmtId="0" fontId="7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0" borderId="0" xfId="0" applyFont="1"/>
    <xf numFmtId="0" fontId="8" fillId="0" borderId="0" xfId="0" applyFont="1"/>
    <xf numFmtId="0" fontId="4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ns" displayName="Runs" ref="A1:AN38">
  <autoFilter ref="A1:AN38" xr:uid="{00000000-0009-0000-0100-000001000000}"/>
  <tableColumns count="40">
    <tableColumn id="1" xr3:uid="{00000000-0010-0000-0000-000001000000}" name="Run ID"/>
    <tableColumn id="2" xr3:uid="{00000000-0010-0000-0000-000002000000}" name="Date"/>
    <tableColumn id="3" xr3:uid="{00000000-0010-0000-0000-000003000000}" name="Label"/>
    <tableColumn id="4" xr3:uid="{00000000-0010-0000-0000-000004000000}" name="Series"/>
    <tableColumn id="5" xr3:uid="{00000000-0010-0000-0000-000005000000}" name="Map"/>
    <tableColumn id="6" xr3:uid="{00000000-0010-0000-0000-000006000000}" name="Mod config"/>
    <tableColumn id="7" xr3:uid="{00000000-0010-0000-0000-000007000000}" name="FPS cap"/>
    <tableColumn id="8" xr3:uid="{00000000-0010-0000-0000-000008000000}" name="Probes"/>
    <tableColumn id="9" xr3:uid="{00000000-0010-0000-0000-000009000000}" name="Duration (s)"/>
    <tableColumn id="10" xr3:uid="{00000000-0010-0000-0000-00000A000000}" name="Mean FPS"/>
    <tableColumn id="11" xr3:uid="{00000000-0010-0000-0000-00000B000000}" name="p50 frame (ms)"/>
    <tableColumn id="12" xr3:uid="{00000000-0010-0000-0000-00000C000000}" name="p95 frame (ms)"/>
    <tableColumn id="13" xr3:uid="{00000000-0010-0000-0000-00000D000000}" name="p99 frame (ms)"/>
    <tableColumn id="14" xr3:uid="{00000000-0010-0000-0000-00000E000000}" name="Max frame (ms)"/>
    <tableColumn id="15" xr3:uid="{00000000-0010-0000-0000-00000F000000}" name="Frames &gt;4.17 ms"/>
    <tableColumn id="16" xr3:uid="{00000000-0010-0000-0000-000010000000}" name="Frames &gt;8.33 ms"/>
    <tableColumn id="17" xr3:uid="{00000000-0010-0000-0000-000011000000}" name="Frames &gt;16.67 ms"/>
    <tableColumn id="18" xr3:uid="{00000000-0010-0000-0000-000012000000}" name="Physics-step frame (ms)"/>
    <tableColumn id="19" xr3:uid="{00000000-0010-0000-0000-000013000000}" name="Frame without step (ms)"/>
    <tableColumn id="20" xr3:uid="{00000000-0010-0000-0000-000014000000}" name="Slowest 5% frame (ms)"/>
    <tableColumn id="21" xr3:uid="{00000000-0010-0000-0000-000015000000}" name="Step frames"/>
    <tableColumn id="22" xr3:uid="{00000000-0010-0000-0000-000016000000}" name="FixedUpdate per step (ms)"/>
    <tableColumn id="23" xr3:uid="{00000000-0010-0000-0000-000017000000}" name="Physics bracket per step (ms)"/>
    <tableColumn id="24" xr3:uid="{00000000-0010-0000-0000-000018000000}" name="Unbracketed per step (ms)"/>
    <tableColumn id="25" xr3:uid="{00000000-0010-0000-0000-000019000000}" name="Update mean (ms)"/>
    <tableColumn id="26" xr3:uid="{00000000-0010-0000-0000-00001A000000}" name="Render bracket mean (ms)"/>
    <tableColumn id="27" xr3:uid="{00000000-0010-0000-0000-00001B000000}" name="Anim/coroutine gap mean (ms)"/>
    <tableColumn id="28" xr3:uid="{00000000-0010-0000-0000-00001C000000}" name="Present gap mean (ms)"/>
    <tableColumn id="29" xr3:uid="{00000000-0010-0000-0000-00001D000000}" name="Draw calls mean"/>
    <tableColumn id="30" xr3:uid="{00000000-0010-0000-0000-00001E000000}" name="Bodies"/>
    <tableColumn id="31" xr3:uid="{00000000-0010-0000-0000-00001F000000}" name="Awake bodies"/>
    <tableColumn id="32" xr3:uid="{00000000-0010-0000-0000-000020000000}" name="Static bodies"/>
    <tableColumn id="33" xr3:uid="{00000000-0010-0000-0000-000021000000}" name="ActiveBlocks"/>
    <tableColumn id="34" xr3:uid="{00000000-0010-0000-0000-000022000000}" name="Placeables"/>
    <tableColumn id="35" xr3:uid="{00000000-0010-0000-0000-000023000000}" name="Animators"/>
    <tableColumn id="36" xr3:uid="{00000000-0010-0000-0000-000024000000}" name="Projectiles"/>
    <tableColumn id="37" xr3:uid="{00000000-0010-0000-0000-000025000000}" name="GC (gen0)"/>
    <tableColumn id="38" xr3:uid="{00000000-0010-0000-0000-000026000000}" name="Perf mod version"/>
    <tableColumn id="39" xr3:uid="{00000000-0010-0000-0000-000027000000}" name="Perf Test version"/>
    <tableColumn id="40" xr3:uid="{00000000-0010-0000-0000-000028000000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58" customWidth="1"/>
    <col min="2" max="11" width="13" customWidth="1"/>
  </cols>
  <sheetData>
    <row r="1" spans="1:10" ht="1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42" customHeight="1" x14ac:dyDescent="0.25">
      <c r="A2" s="35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.75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</row>
    <row r="6" spans="1:10" ht="32.1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</row>
    <row r="7" spans="1:10" x14ac:dyDescent="0.25">
      <c r="A7" s="6" t="s">
        <v>14</v>
      </c>
      <c r="B7" s="7">
        <f>COUNTIFS('All Runs'!$D$2:$D$38,"Final A/B (2.3.0)",'All Runs'!$F$2:$F$38,"Vanilla (perf mod switched off)")</f>
        <v>2</v>
      </c>
      <c r="C7" s="8">
        <f>IFERROR(AVERAGEIFS('All Runs'!$J$2:$J$38,'All Runs'!$D$2:$D$38,"Final A/B (2.3.0)",'All Runs'!$F$2:$F$38,"Vanilla (perf mod switched off)"),"-")</f>
        <v>67.56</v>
      </c>
      <c r="D7" s="9">
        <f>IFERROR(AVERAGEIFS('All Runs'!$L$2:$L$38,'All Runs'!$D$2:$D$38,"Final A/B (2.3.0)",'All Runs'!$F$2:$F$38,"Vanilla (perf mod switched off)"),"-")</f>
        <v>19.344999999999999</v>
      </c>
      <c r="E7" s="9">
        <f>IFERROR(AVERAGEIFS('All Runs'!$M$2:$M$38,'All Runs'!$D$2:$D$38,"Final A/B (2.3.0)",'All Runs'!$F$2:$F$38,"Vanilla (perf mod switched off)"),"-")</f>
        <v>28.398499999999999</v>
      </c>
      <c r="F7" s="9">
        <f>IFERROR(AVERAGEIFS('All Runs'!$N$2:$N$38,'All Runs'!$D$2:$D$38,"Final A/B (2.3.0)",'All Runs'!$F$2:$F$38,"Vanilla (perf mod switched off)"),"-")</f>
        <v>41.067499999999995</v>
      </c>
      <c r="G7" s="10">
        <f>IFERROR(AVERAGEIFS('All Runs'!$P$2:$P$38,'All Runs'!$D$2:$D$38,"Final A/B (2.3.0)",'All Runs'!$F$2:$F$38,"Vanilla (perf mod switched off)"),"-")</f>
        <v>1772</v>
      </c>
      <c r="H7" s="9">
        <f>IFERROR(AVERAGEIFS('All Runs'!$R$2:$R$38,'All Runs'!$D$2:$D$38,"Final A/B (2.3.0)",'All Runs'!$F$2:$F$38,"Vanilla (perf mod switched off)"),"-")</f>
        <v>16.297242338172232</v>
      </c>
      <c r="I7" s="9">
        <f>IFERROR(AVERAGEIFS('All Runs'!$S$2:$S$38,'All Runs'!$D$2:$D$38,"Final A/B (2.3.0)",'All Runs'!$F$2:$F$38,"Vanilla (perf mod switched off)"),"-")</f>
        <v>4.3963564378514643</v>
      </c>
      <c r="J7" s="11">
        <f>IFERROR(C7/C$7,"-")</f>
        <v>1</v>
      </c>
    </row>
    <row r="8" spans="1:10" x14ac:dyDescent="0.25">
      <c r="A8" s="12" t="s">
        <v>15</v>
      </c>
      <c r="B8" s="13">
        <f>COUNTIFS('All Runs'!$D$2:$D$38,"Final A/B (2.3.0)",'All Runs'!$F$2:$F$38,"2.2-equivalent (2.3 features off)")</f>
        <v>2</v>
      </c>
      <c r="C8" s="14">
        <f>IFERROR(AVERAGEIFS('All Runs'!$J$2:$J$38,'All Runs'!$D$2:$D$38,"Final A/B (2.3.0)",'All Runs'!$F$2:$F$38,"2.2-equivalent (2.3 features off)"),"-")</f>
        <v>206.42</v>
      </c>
      <c r="D8" s="15">
        <f>IFERROR(AVERAGEIFS('All Runs'!$L$2:$L$38,'All Runs'!$D$2:$D$38,"Final A/B (2.3.0)",'All Runs'!$F$2:$F$38,"2.2-equivalent (2.3 features off)"),"-")</f>
        <v>10.497</v>
      </c>
      <c r="E8" s="15">
        <f>IFERROR(AVERAGEIFS('All Runs'!$M$2:$M$38,'All Runs'!$D$2:$D$38,"Final A/B (2.3.0)",'All Runs'!$F$2:$F$38,"2.2-equivalent (2.3 features off)"),"-")</f>
        <v>11.919</v>
      </c>
      <c r="F8" s="15">
        <f>IFERROR(AVERAGEIFS('All Runs'!$N$2:$N$38,'All Runs'!$D$2:$D$38,"Final A/B (2.3.0)",'All Runs'!$F$2:$F$38,"2.2-equivalent (2.3 features off)"),"-")</f>
        <v>22.0425</v>
      </c>
      <c r="G8" s="16">
        <f>IFERROR(AVERAGEIFS('All Runs'!$P$2:$P$38,'All Runs'!$D$2:$D$38,"Final A/B (2.3.0)",'All Runs'!$F$2:$F$38,"2.2-equivalent (2.3 features off)"),"-")</f>
        <v>1795.5</v>
      </c>
      <c r="H8" s="15">
        <f>IFERROR(AVERAGEIFS('All Runs'!$R$2:$R$38,'All Runs'!$D$2:$D$38,"Final A/B (2.3.0)",'All Runs'!$F$2:$F$38,"2.2-equivalent (2.3 features off)"),"-")</f>
        <v>9.7123836751658033</v>
      </c>
      <c r="I8" s="15">
        <f>IFERROR(AVERAGEIFS('All Runs'!$S$2:$S$38,'All Runs'!$D$2:$D$38,"Final A/B (2.3.0)",'All Runs'!$F$2:$F$38,"2.2-equivalent (2.3 features off)"),"-")</f>
        <v>2.8463716813914663</v>
      </c>
      <c r="J8" s="17">
        <f>IFERROR(C8/C$7,"-")</f>
        <v>3.055358200118413</v>
      </c>
    </row>
    <row r="9" spans="1:10" x14ac:dyDescent="0.25">
      <c r="A9" s="18" t="s">
        <v>16</v>
      </c>
      <c r="B9" s="19">
        <f>COUNTIFS('All Runs'!$D$2:$D$38,"Final A/B (2.3.0)",'All Runs'!$F$2:$F$38,"2.3.0 full")</f>
        <v>2</v>
      </c>
      <c r="C9" s="20">
        <f>IFERROR(AVERAGEIFS('All Runs'!$J$2:$J$38,'All Runs'!$D$2:$D$38,"Final A/B (2.3.0)",'All Runs'!$F$2:$F$38,"2.3.0 full"),"-")</f>
        <v>271.94500000000005</v>
      </c>
      <c r="D9" s="21">
        <f>IFERROR(AVERAGEIFS('All Runs'!$L$2:$L$38,'All Runs'!$D$2:$D$38,"Final A/B (2.3.0)",'All Runs'!$F$2:$F$38,"2.3.0 full"),"-")</f>
        <v>8.2010000000000005</v>
      </c>
      <c r="E9" s="21">
        <f>IFERROR(AVERAGEIFS('All Runs'!$M$2:$M$38,'All Runs'!$D$2:$D$38,"Final A/B (2.3.0)",'All Runs'!$F$2:$F$38,"2.3.0 full"),"-")</f>
        <v>9.4074999999999989</v>
      </c>
      <c r="F9" s="21">
        <f>IFERROR(AVERAGEIFS('All Runs'!$N$2:$N$38,'All Runs'!$D$2:$D$38,"Final A/B (2.3.0)",'All Runs'!$F$2:$F$38,"2.3.0 full"),"-")</f>
        <v>15.7715</v>
      </c>
      <c r="G9" s="22">
        <f>IFERROR(AVERAGEIFS('All Runs'!$P$2:$P$38,'All Runs'!$D$2:$D$38,"Final A/B (2.3.0)",'All Runs'!$F$2:$F$38,"2.3.0 full"),"-")</f>
        <v>347</v>
      </c>
      <c r="H9" s="21">
        <f>IFERROR(AVERAGEIFS('All Runs'!$R$2:$R$38,'All Runs'!$D$2:$D$38,"Final A/B (2.3.0)",'All Runs'!$F$2:$F$38,"2.3.0 full"),"-")</f>
        <v>7.6373765846267503</v>
      </c>
      <c r="I9" s="21">
        <f>IFERROR(AVERAGEIFS('All Runs'!$S$2:$S$38,'All Runs'!$D$2:$D$38,"Final A/B (2.3.0)",'All Runs'!$F$2:$F$38,"2.3.0 full"),"-")</f>
        <v>2.5548893431141577</v>
      </c>
      <c r="J9" s="23">
        <f>IFERROR(C9/C$7,"-")</f>
        <v>4.025236826524571</v>
      </c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5.75" x14ac:dyDescent="0.25">
      <c r="A12" s="3" t="s">
        <v>17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4" t="s">
        <v>18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ht="32.1" customHeight="1" x14ac:dyDescent="0.25">
      <c r="A14" s="5" t="s">
        <v>4</v>
      </c>
      <c r="B14" s="5" t="s">
        <v>5</v>
      </c>
      <c r="C14" s="5" t="s">
        <v>6</v>
      </c>
      <c r="D14" s="5" t="s">
        <v>7</v>
      </c>
      <c r="E14" s="5" t="s">
        <v>8</v>
      </c>
      <c r="F14" s="5" t="s">
        <v>9</v>
      </c>
      <c r="G14" s="5" t="s">
        <v>10</v>
      </c>
      <c r="H14" s="5" t="s">
        <v>11</v>
      </c>
      <c r="I14" s="5" t="s">
        <v>12</v>
      </c>
      <c r="J14" s="5" t="s">
        <v>13</v>
      </c>
    </row>
    <row r="15" spans="1:10" x14ac:dyDescent="0.25">
      <c r="A15" s="6" t="s">
        <v>14</v>
      </c>
      <c r="B15" s="7">
        <f>COUNTIFS('All Runs'!$D$2:$D$38,"Feature matrix",'All Runs'!$F$2:$F$38,"Vanilla (perf mod switched off)")</f>
        <v>2</v>
      </c>
      <c r="C15" s="8">
        <f>IFERROR(AVERAGEIFS('All Runs'!$J$2:$J$38,'All Runs'!$D$2:$D$38,"Feature matrix",'All Runs'!$F$2:$F$38,"Vanilla (perf mod switched off)"),"-")</f>
        <v>65.945000000000007</v>
      </c>
      <c r="D15" s="9">
        <f>IFERROR(AVERAGEIFS('All Runs'!$L$2:$L$38,'All Runs'!$D$2:$D$38,"Feature matrix",'All Runs'!$F$2:$F$38,"Vanilla (perf mod switched off)"),"-")</f>
        <v>19.652999999999999</v>
      </c>
      <c r="E15" s="9">
        <f>IFERROR(AVERAGEIFS('All Runs'!$M$2:$M$38,'All Runs'!$D$2:$D$38,"Feature matrix",'All Runs'!$F$2:$F$38,"Vanilla (perf mod switched off)"),"-")</f>
        <v>29.486000000000001</v>
      </c>
      <c r="F15" s="9">
        <f>IFERROR(AVERAGEIFS('All Runs'!$N$2:$N$38,'All Runs'!$D$2:$D$38,"Feature matrix",'All Runs'!$F$2:$F$38,"Vanilla (perf mod switched off)"),"-")</f>
        <v>40.927499999999995</v>
      </c>
      <c r="G15" s="10">
        <f>IFERROR(AVERAGEIFS('All Runs'!$P$2:$P$38,'All Runs'!$D$2:$D$38,"Feature matrix",'All Runs'!$F$2:$F$38,"Vanilla (perf mod switched off)"),"-")</f>
        <v>1770</v>
      </c>
      <c r="H15" s="9">
        <f>IFERROR(AVERAGEIFS('All Runs'!$R$2:$R$38,'All Runs'!$D$2:$D$38,"Feature matrix",'All Runs'!$F$2:$F$38,"Vanilla (perf mod switched off)"),"-")</f>
        <v>16.42507904256523</v>
      </c>
      <c r="I15" s="9">
        <f>IFERROR(AVERAGEIFS('All Runs'!$S$2:$S$38,'All Runs'!$D$2:$D$38,"Feature matrix",'All Runs'!$F$2:$F$38,"Vanilla (perf mod switched off)"),"-")</f>
        <v>4.4907805905627702</v>
      </c>
      <c r="J15" s="11">
        <f>IFERROR(C15/C$15,"-")</f>
        <v>1</v>
      </c>
    </row>
    <row r="16" spans="1:10" x14ac:dyDescent="0.25">
      <c r="A16" s="12" t="s">
        <v>19</v>
      </c>
      <c r="B16" s="13">
        <f>COUNTIFS('All Runs'!$D$2:$D$38,"Feature matrix",'All Runs'!$F$2:$F$38,"2.2-equivalent (2.3 features off)")</f>
        <v>2</v>
      </c>
      <c r="C16" s="14">
        <f>IFERROR(AVERAGEIFS('All Runs'!$J$2:$J$38,'All Runs'!$D$2:$D$38,"Feature matrix",'All Runs'!$F$2:$F$38,"2.2-equivalent (2.3 features off)"),"-")</f>
        <v>190.98500000000001</v>
      </c>
      <c r="D16" s="15">
        <f>IFERROR(AVERAGEIFS('All Runs'!$L$2:$L$38,'All Runs'!$D$2:$D$38,"Feature matrix",'All Runs'!$F$2:$F$38,"2.2-equivalent (2.3 features off)"),"-")</f>
        <v>11.1585</v>
      </c>
      <c r="E16" s="15">
        <f>IFERROR(AVERAGEIFS('All Runs'!$M$2:$M$38,'All Runs'!$D$2:$D$38,"Feature matrix",'All Runs'!$F$2:$F$38,"2.2-equivalent (2.3 features off)"),"-")</f>
        <v>12.86</v>
      </c>
      <c r="F16" s="15">
        <f>IFERROR(AVERAGEIFS('All Runs'!$N$2:$N$38,'All Runs'!$D$2:$D$38,"Feature matrix",'All Runs'!$F$2:$F$38,"2.2-equivalent (2.3 features off)"),"-")</f>
        <v>23.631499999999999</v>
      </c>
      <c r="G16" s="16">
        <f>IFERROR(AVERAGEIFS('All Runs'!$P$2:$P$38,'All Runs'!$D$2:$D$38,"Feature matrix",'All Runs'!$F$2:$F$38,"2.2-equivalent (2.3 features off)"),"-")</f>
        <v>1807.5</v>
      </c>
      <c r="H16" s="15">
        <f>IFERROR(AVERAGEIFS('All Runs'!$R$2:$R$38,'All Runs'!$D$2:$D$38,"Feature matrix",'All Runs'!$F$2:$F$38,"2.2-equivalent (2.3 features off)"),"-")</f>
        <v>10.155157545277781</v>
      </c>
      <c r="I16" s="15">
        <f>IFERROR(AVERAGEIFS('All Runs'!$S$2:$S$38,'All Runs'!$D$2:$D$38,"Feature matrix",'All Runs'!$F$2:$F$38,"2.2-equivalent (2.3 features off)"),"-")</f>
        <v>2.9803504638661455</v>
      </c>
      <c r="J16" s="17">
        <f>IFERROR(C16/C$15,"-")</f>
        <v>2.896125559178103</v>
      </c>
    </row>
    <row r="17" spans="1:10" x14ac:dyDescent="0.25">
      <c r="A17" s="6" t="s">
        <v>20</v>
      </c>
      <c r="B17" s="7">
        <f>COUNTIFS('All Runs'!$D$2:$D$38,"Feature matrix",'All Runs'!$F$2:$F$38,"2.3.0 without StaticBlocks")</f>
        <v>2</v>
      </c>
      <c r="C17" s="8">
        <f>IFERROR(AVERAGEIFS('All Runs'!$J$2:$J$38,'All Runs'!$D$2:$D$38,"Feature matrix",'All Runs'!$F$2:$F$38,"2.3.0 without StaticBlocks"),"-")</f>
        <v>213.94</v>
      </c>
      <c r="D17" s="9">
        <f>IFERROR(AVERAGEIFS('All Runs'!$L$2:$L$38,'All Runs'!$D$2:$D$38,"Feature matrix",'All Runs'!$F$2:$F$38,"2.3.0 without StaticBlocks"),"-")</f>
        <v>10.132999999999999</v>
      </c>
      <c r="E17" s="9">
        <f>IFERROR(AVERAGEIFS('All Runs'!$M$2:$M$38,'All Runs'!$D$2:$D$38,"Feature matrix",'All Runs'!$F$2:$F$38,"2.3.0 without StaticBlocks"),"-")</f>
        <v>11.4945</v>
      </c>
      <c r="F17" s="9">
        <f>IFERROR(AVERAGEIFS('All Runs'!$N$2:$N$38,'All Runs'!$D$2:$D$38,"Feature matrix",'All Runs'!$F$2:$F$38,"2.3.0 without StaticBlocks"),"-")</f>
        <v>22.715</v>
      </c>
      <c r="G17" s="10">
        <f>IFERROR(AVERAGEIFS('All Runs'!$P$2:$P$38,'All Runs'!$D$2:$D$38,"Feature matrix",'All Runs'!$F$2:$F$38,"2.3.0 without StaticBlocks"),"-")</f>
        <v>1657.5</v>
      </c>
      <c r="H17" s="9">
        <f>IFERROR(AVERAGEIFS('All Runs'!$R$2:$R$38,'All Runs'!$D$2:$D$38,"Feature matrix",'All Runs'!$F$2:$F$38,"2.3.0 without StaticBlocks"),"-")</f>
        <v>9.4081637511902336</v>
      </c>
      <c r="I17" s="9">
        <f>IFERROR(AVERAGEIFS('All Runs'!$S$2:$S$38,'All Runs'!$D$2:$D$38,"Feature matrix",'All Runs'!$F$2:$F$38,"2.3.0 without StaticBlocks"),"-")</f>
        <v>2.8308850606015472</v>
      </c>
      <c r="J17" s="11">
        <f>IFERROR(C17/C$15,"-")</f>
        <v>3.2442186670710438</v>
      </c>
    </row>
    <row r="18" spans="1:10" x14ac:dyDescent="0.25">
      <c r="A18" s="12" t="s">
        <v>21</v>
      </c>
      <c r="B18" s="13">
        <f>COUNTIFS('All Runs'!$D$2:$D$38,"Feature matrix",'All Runs'!$F$2:$F$38,"2.3.0 without CentralBlockLoops")</f>
        <v>2</v>
      </c>
      <c r="C18" s="14">
        <f>IFERROR(AVERAGEIFS('All Runs'!$J$2:$J$38,'All Runs'!$D$2:$D$38,"Feature matrix",'All Runs'!$F$2:$F$38,"2.3.0 without CentralBlockLoops"),"-")</f>
        <v>223.28</v>
      </c>
      <c r="D18" s="15">
        <f>IFERROR(AVERAGEIFS('All Runs'!$L$2:$L$38,'All Runs'!$D$2:$D$38,"Feature matrix",'All Runs'!$F$2:$F$38,"2.3.0 without CentralBlockLoops"),"-")</f>
        <v>9.6095000000000006</v>
      </c>
      <c r="E18" s="15">
        <f>IFERROR(AVERAGEIFS('All Runs'!$M$2:$M$38,'All Runs'!$D$2:$D$38,"Feature matrix",'All Runs'!$F$2:$F$38,"2.3.0 without CentralBlockLoops"),"-")</f>
        <v>11.3245</v>
      </c>
      <c r="F18" s="15">
        <f>IFERROR(AVERAGEIFS('All Runs'!$N$2:$N$38,'All Runs'!$D$2:$D$38,"Feature matrix",'All Runs'!$F$2:$F$38,"2.3.0 without CentralBlockLoops"),"-")</f>
        <v>18.5425</v>
      </c>
      <c r="G18" s="16">
        <f>IFERROR(AVERAGEIFS('All Runs'!$P$2:$P$38,'All Runs'!$D$2:$D$38,"Feature matrix",'All Runs'!$F$2:$F$38,"2.3.0 without CentralBlockLoops"),"-")</f>
        <v>1127.5</v>
      </c>
      <c r="H18" s="15">
        <f>IFERROR(AVERAGEIFS('All Runs'!$R$2:$R$38,'All Runs'!$D$2:$D$38,"Feature matrix",'All Runs'!$F$2:$F$38,"2.3.0 without CentralBlockLoops"),"-")</f>
        <v>8.8602638173726014</v>
      </c>
      <c r="I18" s="15">
        <f>IFERROR(AVERAGEIFS('All Runs'!$S$2:$S$38,'All Runs'!$D$2:$D$38,"Feature matrix",'All Runs'!$F$2:$F$38,"2.3.0 without CentralBlockLoops"),"-")</f>
        <v>2.8667488362775924</v>
      </c>
      <c r="J18" s="17">
        <f>IFERROR(C18/C$15,"-")</f>
        <v>3.3858518462354987</v>
      </c>
    </row>
    <row r="19" spans="1:10" x14ac:dyDescent="0.25">
      <c r="A19" s="18" t="s">
        <v>22</v>
      </c>
      <c r="B19" s="19">
        <f>COUNTIFS('All Runs'!$D$2:$D$38,"Feature matrix",'All Runs'!$F$2:$F$38,"2.3.0 full")</f>
        <v>2</v>
      </c>
      <c r="C19" s="20">
        <f>IFERROR(AVERAGEIFS('All Runs'!$J$2:$J$38,'All Runs'!$D$2:$D$38,"Feature matrix",'All Runs'!$F$2:$F$38,"2.3.0 full"),"-")</f>
        <v>238.54500000000002</v>
      </c>
      <c r="D19" s="21">
        <f>IFERROR(AVERAGEIFS('All Runs'!$L$2:$L$38,'All Runs'!$D$2:$D$38,"Feature matrix",'All Runs'!$F$2:$F$38,"2.3.0 full"),"-")</f>
        <v>9.0429999999999993</v>
      </c>
      <c r="E19" s="21">
        <f>IFERROR(AVERAGEIFS('All Runs'!$M$2:$M$38,'All Runs'!$D$2:$D$38,"Feature matrix",'All Runs'!$F$2:$F$38,"2.3.0 full"),"-")</f>
        <v>10.5785</v>
      </c>
      <c r="F19" s="21">
        <f>IFERROR(AVERAGEIFS('All Runs'!$N$2:$N$38,'All Runs'!$D$2:$D$38,"Feature matrix",'All Runs'!$F$2:$F$38,"2.3.0 full"),"-")</f>
        <v>18.626000000000001</v>
      </c>
      <c r="G19" s="22">
        <f>IFERROR(AVERAGEIFS('All Runs'!$P$2:$P$38,'All Runs'!$D$2:$D$38,"Feature matrix",'All Runs'!$F$2:$F$38,"2.3.0 full"),"-")</f>
        <v>741</v>
      </c>
      <c r="H19" s="21">
        <f>IFERROR(AVERAGEIFS('All Runs'!$R$2:$R$38,'All Runs'!$D$2:$D$38,"Feature matrix",'All Runs'!$F$2:$F$38,"2.3.0 full"),"-")</f>
        <v>8.3496683481399216</v>
      </c>
      <c r="I19" s="21">
        <f>IFERROR(AVERAGEIFS('All Runs'!$S$2:$S$38,'All Runs'!$D$2:$D$38,"Feature matrix",'All Runs'!$F$2:$F$38,"2.3.0 full"),"-")</f>
        <v>2.792145021246156</v>
      </c>
      <c r="J19" s="23">
        <f>IFERROR(C19/C$15,"-")</f>
        <v>3.6173326256729093</v>
      </c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.75" x14ac:dyDescent="0.25">
      <c r="A22" s="3" t="s">
        <v>23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4" t="s">
        <v>24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32.1" customHeight="1" x14ac:dyDescent="0.25">
      <c r="A24" s="5" t="s">
        <v>4</v>
      </c>
      <c r="B24" s="5" t="s">
        <v>5</v>
      </c>
      <c r="C24" s="5" t="s">
        <v>6</v>
      </c>
      <c r="D24" s="5" t="s">
        <v>7</v>
      </c>
      <c r="E24" s="5" t="s">
        <v>8</v>
      </c>
      <c r="F24" s="5" t="s">
        <v>9</v>
      </c>
      <c r="G24" s="5" t="s">
        <v>10</v>
      </c>
      <c r="H24" s="5" t="s">
        <v>11</v>
      </c>
      <c r="I24" s="5" t="s">
        <v>12</v>
      </c>
      <c r="J24" s="5" t="s">
        <v>13</v>
      </c>
    </row>
    <row r="25" spans="1:10" x14ac:dyDescent="0.25">
      <c r="A25" s="6" t="s">
        <v>14</v>
      </c>
      <c r="B25" s="7">
        <f>COUNTIFS('All Runs'!$D$2:$D$38,"Comp map first A/B",'All Runs'!$F$2:$F$38,"Vanilla (perf mod switched off)")</f>
        <v>2</v>
      </c>
      <c r="C25" s="8">
        <f>IFERROR(AVERAGEIFS('All Runs'!$J$2:$J$38,'All Runs'!$D$2:$D$38,"Comp map first A/B",'All Runs'!$F$2:$F$38,"Vanilla (perf mod switched off)"),"-")</f>
        <v>56.495000000000005</v>
      </c>
      <c r="D25" s="9">
        <f>IFERROR(AVERAGEIFS('All Runs'!$L$2:$L$38,'All Runs'!$D$2:$D$38,"Comp map first A/B",'All Runs'!$F$2:$F$38,"Vanilla (perf mod switched off)"),"-")</f>
        <v>26.949000000000002</v>
      </c>
      <c r="E25" s="9">
        <f>IFERROR(AVERAGEIFS('All Runs'!$M$2:$M$38,'All Runs'!$D$2:$D$38,"Comp map first A/B",'All Runs'!$F$2:$F$38,"Vanilla (perf mod switched off)"),"-")</f>
        <v>34.064</v>
      </c>
      <c r="F25" s="9">
        <f>IFERROR(AVERAGEIFS('All Runs'!$N$2:$N$38,'All Runs'!$D$2:$D$38,"Comp map first A/B",'All Runs'!$F$2:$F$38,"Vanilla (perf mod switched off)"),"-")</f>
        <v>71.165499999999994</v>
      </c>
      <c r="G25" s="10">
        <f>IFERROR(AVERAGEIFS('All Runs'!$P$2:$P$38,'All Runs'!$D$2:$D$38,"Comp map first A/B",'All Runs'!$F$2:$F$38,"Vanilla (perf mod switched off)"),"-")</f>
        <v>1612.5</v>
      </c>
      <c r="H25" s="9">
        <f>IFERROR(AVERAGEIFS('All Runs'!$R$2:$R$38,'All Runs'!$D$2:$D$38,"Comp map first A/B",'All Runs'!$F$2:$F$38,"Vanilla (perf mod switched off)"),"-")</f>
        <v>18.528115708497861</v>
      </c>
      <c r="I25" s="9">
        <f>IFERROR(AVERAGEIFS('All Runs'!$S$2:$S$38,'All Runs'!$D$2:$D$38,"Comp map first A/B",'All Runs'!$F$2:$F$38,"Vanilla (perf mod switched off)"),"-")</f>
        <v>4.4266219325153386</v>
      </c>
      <c r="J25" s="11">
        <f>IFERROR(C25/C$25,"-")</f>
        <v>1</v>
      </c>
    </row>
    <row r="26" spans="1:10" x14ac:dyDescent="0.25">
      <c r="A26" s="18" t="s">
        <v>25</v>
      </c>
      <c r="B26" s="19">
        <f>COUNTIFS('All Runs'!$D$2:$D$38,"Comp map first A/B",'All Runs'!$F$2:$F$38,"2.2.0")</f>
        <v>2</v>
      </c>
      <c r="C26" s="20">
        <f>IFERROR(AVERAGEIFS('All Runs'!$J$2:$J$38,'All Runs'!$D$2:$D$38,"Comp map first A/B",'All Runs'!$F$2:$F$38,"2.2.0"),"-")</f>
        <v>201.89</v>
      </c>
      <c r="D26" s="21">
        <f>IFERROR(AVERAGEIFS('All Runs'!$L$2:$L$38,'All Runs'!$D$2:$D$38,"Comp map first A/B",'All Runs'!$F$2:$F$38,"2.2.0"),"-")</f>
        <v>10.75</v>
      </c>
      <c r="E26" s="21">
        <f>IFERROR(AVERAGEIFS('All Runs'!$M$2:$M$38,'All Runs'!$D$2:$D$38,"Comp map first A/B",'All Runs'!$F$2:$F$38,"2.2.0"),"-")</f>
        <v>12.7225</v>
      </c>
      <c r="F26" s="21">
        <f>IFERROR(AVERAGEIFS('All Runs'!$N$2:$N$38,'All Runs'!$D$2:$D$38,"Comp map first A/B",'All Runs'!$F$2:$F$38,"2.2.0"),"-")</f>
        <v>27.069000000000003</v>
      </c>
      <c r="G26" s="22">
        <f>IFERROR(AVERAGEIFS('All Runs'!$P$2:$P$38,'All Runs'!$D$2:$D$38,"Comp map first A/B",'All Runs'!$F$2:$F$38,"2.2.0"),"-")</f>
        <v>1788.5</v>
      </c>
      <c r="H26" s="21">
        <f>IFERROR(AVERAGEIFS('All Runs'!$R$2:$R$38,'All Runs'!$D$2:$D$38,"Comp map first A/B",'All Runs'!$F$2:$F$38,"2.2.0"),"-")</f>
        <v>9.8694195753630112</v>
      </c>
      <c r="I26" s="21">
        <f>IFERROR(AVERAGEIFS('All Runs'!$S$2:$S$38,'All Runs'!$D$2:$D$38,"Comp map first A/B",'All Runs'!$F$2:$F$38,"2.2.0"),"-")</f>
        <v>2.8735802161727926</v>
      </c>
      <c r="J26" s="23">
        <f>IFERROR(C26/C$25,"-")</f>
        <v>3.5735905832374542</v>
      </c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.75" x14ac:dyDescent="0.25">
      <c r="A29" s="3" t="s">
        <v>26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33" t="s">
        <v>27</v>
      </c>
      <c r="B30" s="34"/>
      <c r="C30" s="34"/>
      <c r="D30" s="34"/>
      <c r="E30" s="34"/>
      <c r="F30" s="34"/>
      <c r="G30" s="34"/>
      <c r="H30" s="34"/>
      <c r="I30" s="34"/>
      <c r="J30" s="34"/>
    </row>
    <row r="31" spans="1:10" x14ac:dyDescent="0.25">
      <c r="A31" s="33" t="s">
        <v>28</v>
      </c>
      <c r="B31" s="34"/>
      <c r="C31" s="34"/>
      <c r="D31" s="34"/>
      <c r="E31" s="34"/>
      <c r="F31" s="34"/>
      <c r="G31" s="34"/>
      <c r="H31" s="34"/>
      <c r="I31" s="34"/>
      <c r="J31" s="34"/>
    </row>
    <row r="32" spans="1:10" x14ac:dyDescent="0.25">
      <c r="A32" s="33" t="s">
        <v>29</v>
      </c>
      <c r="B32" s="34"/>
      <c r="C32" s="34"/>
      <c r="D32" s="34"/>
      <c r="E32" s="34"/>
      <c r="F32" s="34"/>
      <c r="G32" s="34"/>
      <c r="H32" s="34"/>
      <c r="I32" s="34"/>
      <c r="J32" s="34"/>
    </row>
    <row r="33" spans="1:10" x14ac:dyDescent="0.25">
      <c r="A33" s="33" t="s">
        <v>30</v>
      </c>
      <c r="B33" s="34"/>
      <c r="C33" s="34"/>
      <c r="D33" s="34"/>
      <c r="E33" s="34"/>
      <c r="F33" s="34"/>
      <c r="G33" s="34"/>
      <c r="H33" s="34"/>
      <c r="I33" s="34"/>
      <c r="J33" s="34"/>
    </row>
    <row r="34" spans="1:10" x14ac:dyDescent="0.25">
      <c r="A34" s="33" t="s">
        <v>31</v>
      </c>
      <c r="B34" s="34"/>
      <c r="C34" s="34"/>
      <c r="D34" s="34"/>
      <c r="E34" s="34"/>
      <c r="F34" s="34"/>
      <c r="G34" s="34"/>
      <c r="H34" s="34"/>
      <c r="I34" s="34"/>
      <c r="J34" s="34"/>
    </row>
  </sheetData>
  <mergeCells count="6">
    <mergeCell ref="A32:J32"/>
    <mergeCell ref="A31:J31"/>
    <mergeCell ref="A30:J30"/>
    <mergeCell ref="A34:J34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8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2" customWidth="1"/>
    <col min="2" max="2" width="16" customWidth="1"/>
    <col min="3" max="4" width="22" customWidth="1"/>
    <col min="5" max="5" width="24" customWidth="1"/>
    <col min="6" max="6" width="30" customWidth="1"/>
    <col min="7" max="7" width="24" customWidth="1"/>
    <col min="8" max="39" width="12" customWidth="1"/>
    <col min="40" max="40" width="70" customWidth="1"/>
  </cols>
  <sheetData>
    <row r="1" spans="1:40" ht="45" customHeight="1" x14ac:dyDescent="0.25">
      <c r="A1" s="25" t="s">
        <v>32</v>
      </c>
      <c r="B1" s="25" t="s">
        <v>33</v>
      </c>
      <c r="C1" s="25" t="s">
        <v>34</v>
      </c>
      <c r="D1" s="25" t="s">
        <v>35</v>
      </c>
      <c r="E1" s="25" t="s">
        <v>36</v>
      </c>
      <c r="F1" s="25" t="s">
        <v>37</v>
      </c>
      <c r="G1" s="25" t="s">
        <v>38</v>
      </c>
      <c r="H1" s="25" t="s">
        <v>39</v>
      </c>
      <c r="I1" s="25" t="s">
        <v>40</v>
      </c>
      <c r="J1" s="25" t="s">
        <v>6</v>
      </c>
      <c r="K1" s="25" t="s">
        <v>41</v>
      </c>
      <c r="L1" s="25" t="s">
        <v>7</v>
      </c>
      <c r="M1" s="25" t="s">
        <v>8</v>
      </c>
      <c r="N1" s="25" t="s">
        <v>9</v>
      </c>
      <c r="O1" s="25" t="s">
        <v>42</v>
      </c>
      <c r="P1" s="25" t="s">
        <v>10</v>
      </c>
      <c r="Q1" s="25" t="s">
        <v>43</v>
      </c>
      <c r="R1" s="25" t="s">
        <v>11</v>
      </c>
      <c r="S1" s="25" t="s">
        <v>12</v>
      </c>
      <c r="T1" s="25" t="s">
        <v>44</v>
      </c>
      <c r="U1" s="25" t="s">
        <v>45</v>
      </c>
      <c r="V1" s="25" t="s">
        <v>46</v>
      </c>
      <c r="W1" s="25" t="s">
        <v>47</v>
      </c>
      <c r="X1" s="25" t="s">
        <v>48</v>
      </c>
      <c r="Y1" s="25" t="s">
        <v>49</v>
      </c>
      <c r="Z1" s="25" t="s">
        <v>50</v>
      </c>
      <c r="AA1" s="25" t="s">
        <v>51</v>
      </c>
      <c r="AB1" s="25" t="s">
        <v>52</v>
      </c>
      <c r="AC1" s="25" t="s">
        <v>53</v>
      </c>
      <c r="AD1" s="25" t="s">
        <v>54</v>
      </c>
      <c r="AE1" s="25" t="s">
        <v>55</v>
      </c>
      <c r="AF1" s="25" t="s">
        <v>56</v>
      </c>
      <c r="AG1" s="25" t="s">
        <v>57</v>
      </c>
      <c r="AH1" s="25" t="s">
        <v>58</v>
      </c>
      <c r="AI1" s="25" t="s">
        <v>59</v>
      </c>
      <c r="AJ1" s="25" t="s">
        <v>60</v>
      </c>
      <c r="AK1" s="25" t="s">
        <v>61</v>
      </c>
      <c r="AL1" s="25" t="s">
        <v>62</v>
      </c>
      <c r="AM1" s="25" t="s">
        <v>63</v>
      </c>
      <c r="AN1" s="25" t="s">
        <v>64</v>
      </c>
    </row>
    <row r="2" spans="1:40" x14ac:dyDescent="0.25">
      <c r="A2" s="24" t="s">
        <v>65</v>
      </c>
      <c r="B2" s="26">
        <v>46319.953900462962</v>
      </c>
      <c r="C2" s="24" t="s">
        <v>66</v>
      </c>
      <c r="D2" s="24" t="s">
        <v>67</v>
      </c>
      <c r="E2" s="24" t="s">
        <v>68</v>
      </c>
      <c r="F2" s="24" t="s">
        <v>69</v>
      </c>
      <c r="G2" s="24" t="s">
        <v>70</v>
      </c>
      <c r="H2" s="24" t="s">
        <v>71</v>
      </c>
      <c r="I2" s="27">
        <v>30</v>
      </c>
      <c r="J2" s="28">
        <v>49.35</v>
      </c>
      <c r="K2" s="29">
        <v>17.937000000000001</v>
      </c>
      <c r="L2" s="29">
        <v>33.697000000000003</v>
      </c>
      <c r="M2" s="29">
        <v>37.225999999999999</v>
      </c>
      <c r="N2" s="29">
        <v>67.361999999999995</v>
      </c>
      <c r="O2" s="27">
        <v>1481</v>
      </c>
      <c r="P2" s="27">
        <v>1476</v>
      </c>
      <c r="Q2" s="27">
        <v>921</v>
      </c>
      <c r="R2" s="29">
        <v>20.31287715254237</v>
      </c>
      <c r="S2" s="29">
        <v>4.3248500000000014</v>
      </c>
      <c r="T2" s="29">
        <v>36.325023999999999</v>
      </c>
      <c r="U2" s="27">
        <v>1475</v>
      </c>
      <c r="V2" s="29">
        <v>2.8680585762711872</v>
      </c>
      <c r="W2" s="29">
        <v>11.45937152542373</v>
      </c>
      <c r="X2" s="29">
        <v>3.8477625762711871</v>
      </c>
      <c r="Y2" s="29">
        <v>0.80800000000000005</v>
      </c>
      <c r="Z2" s="29">
        <v>1.23</v>
      </c>
      <c r="AA2" s="29">
        <v>1.1519999999999999</v>
      </c>
      <c r="AB2" s="29">
        <v>0.14299999999999999</v>
      </c>
      <c r="AC2" s="27">
        <v>51.920999999999999</v>
      </c>
      <c r="AD2" s="27">
        <v>2928.5</v>
      </c>
      <c r="AE2" s="27">
        <v>2928.5</v>
      </c>
      <c r="AF2" s="27">
        <v>0</v>
      </c>
      <c r="AG2" s="27">
        <v>933</v>
      </c>
      <c r="AH2" s="27">
        <v>2848</v>
      </c>
      <c r="AI2" s="27">
        <v>322.5</v>
      </c>
      <c r="AJ2" s="27">
        <v>0</v>
      </c>
      <c r="AK2" s="27">
        <v>1</v>
      </c>
      <c r="AL2" s="24" t="s">
        <v>25</v>
      </c>
      <c r="AM2" s="24" t="s">
        <v>72</v>
      </c>
      <c r="AN2" s="24" t="s">
        <v>73</v>
      </c>
    </row>
    <row r="3" spans="1:40" x14ac:dyDescent="0.25">
      <c r="A3" s="24" t="s">
        <v>74</v>
      </c>
      <c r="B3" s="26">
        <v>46319.955092592587</v>
      </c>
      <c r="C3" s="24" t="s">
        <v>75</v>
      </c>
      <c r="D3" s="24" t="s">
        <v>67</v>
      </c>
      <c r="E3" s="24" t="s">
        <v>68</v>
      </c>
      <c r="F3" s="24" t="s">
        <v>25</v>
      </c>
      <c r="G3" s="24" t="s">
        <v>70</v>
      </c>
      <c r="H3" s="24" t="s">
        <v>71</v>
      </c>
      <c r="I3" s="27">
        <v>30</v>
      </c>
      <c r="J3" s="28">
        <v>205.68</v>
      </c>
      <c r="K3" s="29">
        <v>2.8809999999999998</v>
      </c>
      <c r="L3" s="29">
        <v>10.603999999999999</v>
      </c>
      <c r="M3" s="29">
        <v>12.585000000000001</v>
      </c>
      <c r="N3" s="29">
        <v>27.352</v>
      </c>
      <c r="O3" s="27">
        <v>1903</v>
      </c>
      <c r="P3" s="27">
        <v>1781</v>
      </c>
      <c r="Q3" s="27">
        <v>10</v>
      </c>
      <c r="R3" s="29">
        <v>9.799457306837132</v>
      </c>
      <c r="S3" s="29">
        <v>2.827542925714285</v>
      </c>
      <c r="T3" s="29">
        <v>11.95542944983819</v>
      </c>
      <c r="U3" s="27">
        <v>1799</v>
      </c>
      <c r="V3" s="29">
        <v>1.408240800444692</v>
      </c>
      <c r="W3" s="29">
        <v>3.2829831573096162</v>
      </c>
      <c r="X3" s="29">
        <v>3.137371259032796</v>
      </c>
      <c r="Y3" s="29">
        <v>0.68600000000000005</v>
      </c>
      <c r="Z3" s="29">
        <v>0.996</v>
      </c>
      <c r="AA3" s="29">
        <v>0.81599999999999995</v>
      </c>
      <c r="AB3" s="29">
        <v>0.3</v>
      </c>
      <c r="AC3" s="27">
        <v>51.872</v>
      </c>
      <c r="AD3" s="27">
        <v>2925</v>
      </c>
      <c r="AE3" s="27">
        <v>2925</v>
      </c>
      <c r="AF3" s="27">
        <v>0</v>
      </c>
      <c r="AG3" s="27">
        <v>933</v>
      </c>
      <c r="AH3" s="27">
        <v>2848</v>
      </c>
      <c r="AI3" s="27">
        <v>315.33300000000003</v>
      </c>
      <c r="AJ3" s="27">
        <v>3.6669999999999998</v>
      </c>
      <c r="AK3" s="27">
        <v>1</v>
      </c>
      <c r="AL3" s="24" t="s">
        <v>25</v>
      </c>
      <c r="AM3" s="24" t="s">
        <v>72</v>
      </c>
      <c r="AN3" s="24" t="s">
        <v>73</v>
      </c>
    </row>
    <row r="4" spans="1:40" x14ac:dyDescent="0.25">
      <c r="A4" s="24" t="s">
        <v>76</v>
      </c>
      <c r="B4" s="26">
        <v>46319.956261574072</v>
      </c>
      <c r="C4" s="24" t="s">
        <v>77</v>
      </c>
      <c r="D4" s="24" t="s">
        <v>67</v>
      </c>
      <c r="E4" s="24" t="s">
        <v>68</v>
      </c>
      <c r="F4" s="24" t="s">
        <v>25</v>
      </c>
      <c r="G4" s="24" t="s">
        <v>70</v>
      </c>
      <c r="H4" s="24" t="s">
        <v>71</v>
      </c>
      <c r="I4" s="27">
        <v>30</v>
      </c>
      <c r="J4" s="28">
        <v>198.1</v>
      </c>
      <c r="K4" s="29">
        <v>3.0009999999999999</v>
      </c>
      <c r="L4" s="29">
        <v>10.896000000000001</v>
      </c>
      <c r="M4" s="29">
        <v>12.86</v>
      </c>
      <c r="N4" s="29">
        <v>26.786000000000001</v>
      </c>
      <c r="O4" s="27">
        <v>1921</v>
      </c>
      <c r="P4" s="27">
        <v>1796</v>
      </c>
      <c r="Q4" s="27">
        <v>5</v>
      </c>
      <c r="R4" s="29">
        <v>9.9393818438888903</v>
      </c>
      <c r="S4" s="29">
        <v>2.9196175066313002</v>
      </c>
      <c r="T4" s="29">
        <v>12.140434899328859</v>
      </c>
      <c r="U4" s="27">
        <v>1800</v>
      </c>
      <c r="V4" s="29">
        <v>1.4190897222222221</v>
      </c>
      <c r="W4" s="29">
        <v>3.2455548333333328</v>
      </c>
      <c r="X4" s="29">
        <v>3.2497286216666659</v>
      </c>
      <c r="Y4" s="29">
        <v>0.70799999999999996</v>
      </c>
      <c r="Z4" s="29">
        <v>1.0209999999999999</v>
      </c>
      <c r="AA4" s="29">
        <v>0.85899999999999999</v>
      </c>
      <c r="AB4" s="29">
        <v>0.312</v>
      </c>
      <c r="AC4" s="27">
        <v>51.83</v>
      </c>
      <c r="AD4" s="27">
        <v>2925</v>
      </c>
      <c r="AE4" s="27">
        <v>2925</v>
      </c>
      <c r="AF4" s="27">
        <v>0</v>
      </c>
      <c r="AG4" s="27">
        <v>933</v>
      </c>
      <c r="AH4" s="27">
        <v>2848</v>
      </c>
      <c r="AI4" s="27">
        <v>318</v>
      </c>
      <c r="AJ4" s="27">
        <v>1</v>
      </c>
      <c r="AK4" s="27">
        <v>1</v>
      </c>
      <c r="AL4" s="24" t="s">
        <v>25</v>
      </c>
      <c r="AM4" s="24" t="s">
        <v>72</v>
      </c>
      <c r="AN4" s="24" t="s">
        <v>73</v>
      </c>
    </row>
    <row r="5" spans="1:40" x14ac:dyDescent="0.25">
      <c r="A5" s="24" t="s">
        <v>78</v>
      </c>
      <c r="B5" s="26">
        <v>46319.957442129627</v>
      </c>
      <c r="C5" s="24" t="s">
        <v>79</v>
      </c>
      <c r="D5" s="24" t="s">
        <v>67</v>
      </c>
      <c r="E5" s="24" t="s">
        <v>68</v>
      </c>
      <c r="F5" s="24" t="s">
        <v>69</v>
      </c>
      <c r="G5" s="24" t="s">
        <v>70</v>
      </c>
      <c r="H5" s="24" t="s">
        <v>71</v>
      </c>
      <c r="I5" s="27">
        <v>30</v>
      </c>
      <c r="J5" s="28">
        <v>63.64</v>
      </c>
      <c r="K5" s="29">
        <v>15.583</v>
      </c>
      <c r="L5" s="29">
        <v>20.201000000000001</v>
      </c>
      <c r="M5" s="29">
        <v>30.902000000000001</v>
      </c>
      <c r="N5" s="29">
        <v>74.968999999999994</v>
      </c>
      <c r="O5" s="27">
        <v>1868</v>
      </c>
      <c r="P5" s="27">
        <v>1749</v>
      </c>
      <c r="Q5" s="27">
        <v>704</v>
      </c>
      <c r="R5" s="29">
        <v>16.743354264453352</v>
      </c>
      <c r="S5" s="29">
        <v>4.528393865030675</v>
      </c>
      <c r="T5" s="29">
        <v>27.01151354166667</v>
      </c>
      <c r="U5" s="27">
        <v>1747</v>
      </c>
      <c r="V5" s="29">
        <v>2.2829241556954778</v>
      </c>
      <c r="W5" s="29">
        <v>9.2687968517458508</v>
      </c>
      <c r="X5" s="29">
        <v>3.2257827132226669</v>
      </c>
      <c r="Y5" s="29">
        <v>0.73</v>
      </c>
      <c r="Z5" s="29">
        <v>1.121</v>
      </c>
      <c r="AA5" s="29">
        <v>1.0109999999999999</v>
      </c>
      <c r="AB5" s="29">
        <v>0.28399999999999997</v>
      </c>
      <c r="AC5" s="27">
        <v>52.031999999999996</v>
      </c>
      <c r="AD5" s="27">
        <v>2928.5</v>
      </c>
      <c r="AE5" s="27">
        <v>2928.5</v>
      </c>
      <c r="AF5" s="27">
        <v>0</v>
      </c>
      <c r="AG5" s="27">
        <v>933</v>
      </c>
      <c r="AH5" s="27">
        <v>2848</v>
      </c>
      <c r="AI5" s="27">
        <v>322.5</v>
      </c>
      <c r="AJ5" s="27">
        <v>0</v>
      </c>
      <c r="AK5" s="27">
        <v>1</v>
      </c>
      <c r="AL5" s="24" t="s">
        <v>25</v>
      </c>
      <c r="AM5" s="24" t="s">
        <v>72</v>
      </c>
      <c r="AN5" s="24" t="s">
        <v>73</v>
      </c>
    </row>
    <row r="6" spans="1:40" x14ac:dyDescent="0.25">
      <c r="A6" s="24" t="s">
        <v>80</v>
      </c>
      <c r="B6" s="26">
        <v>46319.963310185187</v>
      </c>
      <c r="C6" s="24" t="s">
        <v>81</v>
      </c>
      <c r="D6" s="24" t="s">
        <v>82</v>
      </c>
      <c r="E6" s="24" t="s">
        <v>68</v>
      </c>
      <c r="F6" s="24" t="s">
        <v>25</v>
      </c>
      <c r="G6" s="24" t="s">
        <v>70</v>
      </c>
      <c r="H6" s="24" t="s">
        <v>71</v>
      </c>
      <c r="I6" s="27">
        <v>20</v>
      </c>
      <c r="J6" s="28">
        <v>212.47</v>
      </c>
      <c r="K6" s="29">
        <v>2.839</v>
      </c>
      <c r="L6" s="29">
        <v>10.324999999999999</v>
      </c>
      <c r="M6" s="29">
        <v>11.544</v>
      </c>
      <c r="N6" s="29">
        <v>21.507000000000001</v>
      </c>
      <c r="O6" s="27">
        <v>1242</v>
      </c>
      <c r="P6" s="27">
        <v>1182</v>
      </c>
      <c r="Q6" s="27">
        <v>1</v>
      </c>
      <c r="R6" s="29">
        <v>9.5795532633333345</v>
      </c>
      <c r="S6" s="29">
        <v>2.784480137659783</v>
      </c>
      <c r="T6" s="29">
        <v>11.05640093896714</v>
      </c>
      <c r="U6" s="27">
        <v>1200</v>
      </c>
      <c r="V6" s="29">
        <v>1.3843450833333331</v>
      </c>
      <c r="W6" s="29">
        <v>3.0847886666666668</v>
      </c>
      <c r="X6" s="29">
        <v>3.1049733466666671</v>
      </c>
      <c r="Y6" s="29">
        <v>0.68</v>
      </c>
      <c r="Z6" s="29">
        <v>0.98199999999999998</v>
      </c>
      <c r="AA6" s="29">
        <v>0.82399999999999995</v>
      </c>
      <c r="AB6" s="29">
        <v>0.29699999999999999</v>
      </c>
      <c r="AC6" s="27">
        <v>51.037999999999997</v>
      </c>
      <c r="AD6" s="27">
        <v>2928.5</v>
      </c>
      <c r="AE6" s="27">
        <v>2928.5</v>
      </c>
      <c r="AF6" s="27">
        <v>0</v>
      </c>
      <c r="AG6" s="27">
        <v>933</v>
      </c>
      <c r="AH6" s="27">
        <v>2848</v>
      </c>
      <c r="AI6" s="27">
        <v>322.5</v>
      </c>
      <c r="AJ6" s="27">
        <v>0</v>
      </c>
      <c r="AK6" s="27">
        <v>0</v>
      </c>
      <c r="AL6" s="24" t="s">
        <v>25</v>
      </c>
      <c r="AM6" s="24" t="s">
        <v>72</v>
      </c>
      <c r="AN6" s="24" t="s">
        <v>83</v>
      </c>
    </row>
    <row r="7" spans="1:40" x14ac:dyDescent="0.25">
      <c r="A7" s="24" t="s">
        <v>84</v>
      </c>
      <c r="B7" s="26">
        <v>46319.963796296302</v>
      </c>
      <c r="C7" s="24" t="s">
        <v>85</v>
      </c>
      <c r="D7" s="24" t="s">
        <v>82</v>
      </c>
      <c r="E7" s="24" t="s">
        <v>68</v>
      </c>
      <c r="F7" s="24" t="s">
        <v>25</v>
      </c>
      <c r="G7" s="24" t="s">
        <v>70</v>
      </c>
      <c r="H7" s="24" t="s">
        <v>71</v>
      </c>
      <c r="I7" s="27">
        <v>20</v>
      </c>
      <c r="J7" s="28">
        <v>220.5</v>
      </c>
      <c r="K7" s="29">
        <v>2.903</v>
      </c>
      <c r="L7" s="29">
        <v>9.7850000000000001</v>
      </c>
      <c r="M7" s="29">
        <v>11.223000000000001</v>
      </c>
      <c r="N7" s="29">
        <v>23.506</v>
      </c>
      <c r="O7" s="27">
        <v>1255</v>
      </c>
      <c r="P7" s="27">
        <v>869</v>
      </c>
      <c r="Q7" s="27">
        <v>1</v>
      </c>
      <c r="R7" s="29">
        <v>8.9968170832639469</v>
      </c>
      <c r="S7" s="29">
        <v>2.861519109866169</v>
      </c>
      <c r="T7" s="29">
        <v>10.6629031719457</v>
      </c>
      <c r="U7" s="27">
        <v>1201</v>
      </c>
      <c r="V7" s="29">
        <v>1.4386320566194839</v>
      </c>
      <c r="W7" s="29">
        <v>2.356269608659451</v>
      </c>
      <c r="X7" s="29">
        <v>3.179754635303913</v>
      </c>
      <c r="Y7" s="29">
        <v>0.69199999999999995</v>
      </c>
      <c r="Z7" s="29">
        <v>1.0009999999999999</v>
      </c>
      <c r="AA7" s="29">
        <v>0.83499999999999996</v>
      </c>
      <c r="AB7" s="29">
        <v>0.316</v>
      </c>
      <c r="AC7" s="27">
        <v>49.963999999999999</v>
      </c>
      <c r="AD7" s="27">
        <v>2933.5</v>
      </c>
      <c r="AE7" s="27">
        <v>1067.5</v>
      </c>
      <c r="AF7" s="27">
        <v>0</v>
      </c>
      <c r="AG7" s="27">
        <v>933</v>
      </c>
      <c r="AH7" s="27">
        <v>2848</v>
      </c>
      <c r="AI7" s="27">
        <v>323.5</v>
      </c>
      <c r="AJ7" s="27">
        <v>4</v>
      </c>
      <c r="AK7" s="27">
        <v>1</v>
      </c>
      <c r="AL7" s="24" t="s">
        <v>25</v>
      </c>
      <c r="AM7" s="24" t="s">
        <v>72</v>
      </c>
      <c r="AN7" s="24" t="s">
        <v>86</v>
      </c>
    </row>
    <row r="8" spans="1:40" x14ac:dyDescent="0.25">
      <c r="A8" s="24" t="s">
        <v>87</v>
      </c>
      <c r="B8" s="26">
        <v>46319.964166666658</v>
      </c>
      <c r="C8" s="24" t="s">
        <v>88</v>
      </c>
      <c r="D8" s="24" t="s">
        <v>82</v>
      </c>
      <c r="E8" s="24" t="s">
        <v>68</v>
      </c>
      <c r="F8" s="24" t="s">
        <v>25</v>
      </c>
      <c r="G8" s="24" t="s">
        <v>70</v>
      </c>
      <c r="H8" s="24" t="s">
        <v>71</v>
      </c>
      <c r="I8" s="27">
        <v>20</v>
      </c>
      <c r="J8" s="28">
        <v>246.31</v>
      </c>
      <c r="K8" s="29">
        <v>2.7250000000000001</v>
      </c>
      <c r="L8" s="29">
        <v>8.7799999999999994</v>
      </c>
      <c r="M8" s="29">
        <v>10.042999999999999</v>
      </c>
      <c r="N8" s="29">
        <v>17.562999999999999</v>
      </c>
      <c r="O8" s="27">
        <v>1234</v>
      </c>
      <c r="P8" s="27">
        <v>402</v>
      </c>
      <c r="Q8" s="27">
        <v>1</v>
      </c>
      <c r="R8" s="29">
        <v>8.1931422847626987</v>
      </c>
      <c r="S8" s="29">
        <v>2.7247331008583688</v>
      </c>
      <c r="T8" s="29">
        <v>9.5335785101214583</v>
      </c>
      <c r="U8" s="27">
        <v>1201</v>
      </c>
      <c r="V8" s="29">
        <v>1.3186106577851791</v>
      </c>
      <c r="W8" s="29">
        <v>1.8810284762697751</v>
      </c>
      <c r="X8" s="29">
        <v>3.0330252156536219</v>
      </c>
      <c r="Y8" s="29">
        <v>0.67100000000000004</v>
      </c>
      <c r="Z8" s="29">
        <v>0.96199999999999997</v>
      </c>
      <c r="AA8" s="29">
        <v>0.80100000000000005</v>
      </c>
      <c r="AB8" s="29">
        <v>0.27600000000000002</v>
      </c>
      <c r="AC8" s="27">
        <v>50.210999999999999</v>
      </c>
      <c r="AD8" s="27">
        <v>2930.5</v>
      </c>
      <c r="AE8" s="27">
        <v>1064.5</v>
      </c>
      <c r="AF8" s="27">
        <v>1866</v>
      </c>
      <c r="AG8" s="27">
        <v>933</v>
      </c>
      <c r="AH8" s="27">
        <v>2848</v>
      </c>
      <c r="AI8" s="27">
        <v>324</v>
      </c>
      <c r="AJ8" s="27">
        <v>0.5</v>
      </c>
      <c r="AK8" s="27">
        <v>0</v>
      </c>
      <c r="AL8" s="24" t="s">
        <v>25</v>
      </c>
      <c r="AM8" s="24" t="s">
        <v>72</v>
      </c>
      <c r="AN8" s="24" t="s">
        <v>89</v>
      </c>
    </row>
    <row r="9" spans="1:40" x14ac:dyDescent="0.25">
      <c r="A9" s="24" t="s">
        <v>90</v>
      </c>
      <c r="B9" s="26">
        <v>46319.964849537027</v>
      </c>
      <c r="C9" s="24" t="s">
        <v>91</v>
      </c>
      <c r="D9" s="24" t="s">
        <v>82</v>
      </c>
      <c r="E9" s="24" t="s">
        <v>68</v>
      </c>
      <c r="F9" s="24" t="s">
        <v>25</v>
      </c>
      <c r="G9" s="24" t="s">
        <v>70</v>
      </c>
      <c r="H9" s="24" t="s">
        <v>71</v>
      </c>
      <c r="I9" s="27">
        <v>20</v>
      </c>
      <c r="J9" s="28">
        <v>242.34</v>
      </c>
      <c r="K9" s="29">
        <v>2.7909999999999999</v>
      </c>
      <c r="L9" s="29">
        <v>8.8659999999999997</v>
      </c>
      <c r="M9" s="29">
        <v>10.698</v>
      </c>
      <c r="N9" s="29">
        <v>18.449000000000002</v>
      </c>
      <c r="O9" s="27">
        <v>1266</v>
      </c>
      <c r="P9" s="27">
        <v>432</v>
      </c>
      <c r="Q9" s="27">
        <v>1</v>
      </c>
      <c r="R9" s="29">
        <v>8.2419235091666661</v>
      </c>
      <c r="S9" s="29">
        <v>2.768999314606742</v>
      </c>
      <c r="T9" s="29">
        <v>9.9091950246913587</v>
      </c>
      <c r="U9" s="27">
        <v>1200</v>
      </c>
      <c r="V9" s="29">
        <v>1.355930333333333</v>
      </c>
      <c r="W9" s="29">
        <v>1.74330125</v>
      </c>
      <c r="X9" s="29">
        <v>3.1290448424999999</v>
      </c>
      <c r="Y9" s="29">
        <v>0.68700000000000006</v>
      </c>
      <c r="Z9" s="29">
        <v>0.98299999999999998</v>
      </c>
      <c r="AA9" s="29">
        <v>0.82199999999999995</v>
      </c>
      <c r="AB9" s="29">
        <v>0.27200000000000002</v>
      </c>
      <c r="AC9" s="27">
        <v>49.152999999999999</v>
      </c>
      <c r="AD9" s="27">
        <v>2917</v>
      </c>
      <c r="AE9" s="27">
        <v>759</v>
      </c>
      <c r="AF9" s="27">
        <v>2158</v>
      </c>
      <c r="AG9" s="27">
        <v>933</v>
      </c>
      <c r="AH9" s="27">
        <v>2848</v>
      </c>
      <c r="AI9" s="27">
        <v>311</v>
      </c>
      <c r="AJ9" s="27">
        <v>0</v>
      </c>
      <c r="AK9" s="27">
        <v>0</v>
      </c>
      <c r="AL9" s="24" t="s">
        <v>25</v>
      </c>
      <c r="AM9" s="24" t="s">
        <v>72</v>
      </c>
      <c r="AN9" s="24" t="s">
        <v>92</v>
      </c>
    </row>
    <row r="10" spans="1:40" x14ac:dyDescent="0.25">
      <c r="A10" s="24" t="s">
        <v>93</v>
      </c>
      <c r="B10" s="26">
        <v>46319.965914351851</v>
      </c>
      <c r="C10" s="24" t="s">
        <v>94</v>
      </c>
      <c r="D10" s="24" t="s">
        <v>82</v>
      </c>
      <c r="E10" s="24" t="s">
        <v>68</v>
      </c>
      <c r="F10" s="24" t="s">
        <v>25</v>
      </c>
      <c r="G10" s="24" t="s">
        <v>70</v>
      </c>
      <c r="H10" s="24" t="s">
        <v>71</v>
      </c>
      <c r="I10" s="27">
        <v>20</v>
      </c>
      <c r="J10" s="28">
        <v>258.69</v>
      </c>
      <c r="K10" s="29">
        <v>2.7370000000000001</v>
      </c>
      <c r="L10" s="29">
        <v>8.1300000000000008</v>
      </c>
      <c r="M10" s="29">
        <v>9.3719999999999999</v>
      </c>
      <c r="N10" s="29">
        <v>16.478000000000002</v>
      </c>
      <c r="O10" s="27">
        <v>1233</v>
      </c>
      <c r="P10" s="27">
        <v>202</v>
      </c>
      <c r="Q10" s="27">
        <v>0</v>
      </c>
      <c r="R10" s="29">
        <v>7.6057920016652796</v>
      </c>
      <c r="S10" s="29">
        <v>2.732701836016096</v>
      </c>
      <c r="T10" s="29">
        <v>8.859285698841699</v>
      </c>
      <c r="U10" s="27">
        <v>1201</v>
      </c>
      <c r="V10" s="29">
        <v>1.345815403830142</v>
      </c>
      <c r="W10" s="29">
        <v>1.7325603663613649</v>
      </c>
      <c r="X10" s="29">
        <v>2.5643173139050792</v>
      </c>
      <c r="Y10" s="29">
        <v>0.67800000000000005</v>
      </c>
      <c r="Z10" s="29">
        <v>0.96199999999999997</v>
      </c>
      <c r="AA10" s="29">
        <v>0.81100000000000005</v>
      </c>
      <c r="AB10" s="29">
        <v>0.26300000000000001</v>
      </c>
      <c r="AC10" s="27">
        <v>48.767000000000003</v>
      </c>
      <c r="AD10" s="27">
        <v>2928.5</v>
      </c>
      <c r="AE10" s="27">
        <v>770.5</v>
      </c>
      <c r="AF10" s="27">
        <v>2158</v>
      </c>
      <c r="AG10" s="27">
        <v>933</v>
      </c>
      <c r="AH10" s="27">
        <v>2848</v>
      </c>
      <c r="AI10" s="27">
        <v>311</v>
      </c>
      <c r="AJ10" s="27">
        <v>11.5</v>
      </c>
      <c r="AK10" s="27">
        <v>1</v>
      </c>
      <c r="AL10" s="24" t="s">
        <v>25</v>
      </c>
      <c r="AM10" s="24" t="s">
        <v>72</v>
      </c>
      <c r="AN10" s="24" t="s">
        <v>95</v>
      </c>
    </row>
    <row r="11" spans="1:40" x14ac:dyDescent="0.25">
      <c r="A11" s="24" t="s">
        <v>96</v>
      </c>
      <c r="B11" s="26">
        <v>46319.967592592591</v>
      </c>
      <c r="C11" s="24" t="s">
        <v>97</v>
      </c>
      <c r="D11" s="24" t="s">
        <v>82</v>
      </c>
      <c r="E11" s="24" t="s">
        <v>68</v>
      </c>
      <c r="F11" s="24" t="s">
        <v>25</v>
      </c>
      <c r="G11" s="24" t="s">
        <v>70</v>
      </c>
      <c r="H11" s="24" t="s">
        <v>71</v>
      </c>
      <c r="I11" s="27">
        <v>20</v>
      </c>
      <c r="J11" s="28">
        <v>211.01</v>
      </c>
      <c r="K11" s="29">
        <v>3.2280000000000002</v>
      </c>
      <c r="L11" s="29">
        <v>10.77</v>
      </c>
      <c r="M11" s="29">
        <v>12.946</v>
      </c>
      <c r="N11" s="29">
        <v>18.149000000000001</v>
      </c>
      <c r="O11" s="27">
        <v>1547</v>
      </c>
      <c r="P11" s="27">
        <v>528</v>
      </c>
      <c r="Q11" s="27">
        <v>1</v>
      </c>
      <c r="R11" s="29">
        <v>8.6517938459616985</v>
      </c>
      <c r="S11" s="29">
        <v>3.1796357045003312</v>
      </c>
      <c r="T11" s="29">
        <v>12.101880660377359</v>
      </c>
      <c r="U11" s="27">
        <v>1201</v>
      </c>
      <c r="V11" s="29">
        <v>1.0664656952539551</v>
      </c>
      <c r="W11" s="29">
        <v>2.0589237302248131</v>
      </c>
      <c r="X11" s="29">
        <v>3.152218991673605</v>
      </c>
      <c r="Y11" s="29">
        <v>0.82799999999999996</v>
      </c>
      <c r="Z11" s="29">
        <v>1.1240000000000001</v>
      </c>
      <c r="AA11" s="29">
        <v>0.97499999999999998</v>
      </c>
      <c r="AB11" s="29">
        <v>0.29599999999999999</v>
      </c>
      <c r="AC11" s="27">
        <v>49.122999999999998</v>
      </c>
      <c r="AD11" s="27">
        <v>2940</v>
      </c>
      <c r="AE11" s="27">
        <v>782</v>
      </c>
      <c r="AF11" s="27">
        <v>2158</v>
      </c>
      <c r="AG11" s="27">
        <v>933</v>
      </c>
      <c r="AH11" s="27">
        <v>2848</v>
      </c>
      <c r="AI11" s="27">
        <v>331</v>
      </c>
      <c r="AJ11" s="27">
        <v>3</v>
      </c>
      <c r="AK11" s="27">
        <v>1</v>
      </c>
      <c r="AL11" s="24" t="s">
        <v>25</v>
      </c>
      <c r="AM11" s="24" t="s">
        <v>72</v>
      </c>
      <c r="AN11" s="24" t="s">
        <v>98</v>
      </c>
    </row>
    <row r="12" spans="1:40" x14ac:dyDescent="0.25">
      <c r="A12" s="24" t="s">
        <v>99</v>
      </c>
      <c r="B12" s="26">
        <v>46319.976064814808</v>
      </c>
      <c r="C12" s="24" t="s">
        <v>100</v>
      </c>
      <c r="D12" s="24" t="s">
        <v>101</v>
      </c>
      <c r="E12" s="24" t="s">
        <v>68</v>
      </c>
      <c r="F12" s="24" t="s">
        <v>102</v>
      </c>
      <c r="G12" s="24" t="s">
        <v>70</v>
      </c>
      <c r="H12" s="24" t="s">
        <v>71</v>
      </c>
      <c r="I12" s="27">
        <v>20</v>
      </c>
      <c r="J12" s="28">
        <v>224.56</v>
      </c>
      <c r="K12" s="29">
        <v>2.8479999999999999</v>
      </c>
      <c r="L12" s="29">
        <v>9.7390000000000008</v>
      </c>
      <c r="M12" s="29">
        <v>12.156000000000001</v>
      </c>
      <c r="N12" s="29">
        <v>19.568000000000001</v>
      </c>
      <c r="O12" s="27">
        <v>1272</v>
      </c>
      <c r="P12" s="27">
        <v>722</v>
      </c>
      <c r="Q12" s="27">
        <v>2</v>
      </c>
      <c r="R12" s="29">
        <v>8.9298065753538722</v>
      </c>
      <c r="S12" s="29">
        <v>2.8157920437291231</v>
      </c>
      <c r="T12" s="29">
        <v>11.06972798666667</v>
      </c>
      <c r="U12" s="27">
        <v>1201</v>
      </c>
      <c r="V12" s="29">
        <v>1.397933721898418</v>
      </c>
      <c r="W12" s="29">
        <v>4.2411657785179013</v>
      </c>
      <c r="X12" s="29">
        <v>1.242627724396336</v>
      </c>
      <c r="Y12" s="29">
        <v>0.71199999999999997</v>
      </c>
      <c r="Z12" s="29">
        <v>1.0089999999999999</v>
      </c>
      <c r="AA12" s="29">
        <v>0.82199999999999995</v>
      </c>
      <c r="AB12" s="29">
        <v>0.26200000000000001</v>
      </c>
      <c r="AC12" s="27">
        <v>51.7</v>
      </c>
      <c r="AD12" s="27">
        <v>2928.5</v>
      </c>
      <c r="AE12" s="27">
        <v>1028.5</v>
      </c>
      <c r="AF12" s="27">
        <v>1900</v>
      </c>
      <c r="AG12" s="27">
        <v>933</v>
      </c>
      <c r="AH12" s="27">
        <v>2848</v>
      </c>
      <c r="AI12" s="27">
        <v>322.5</v>
      </c>
      <c r="AJ12" s="27">
        <v>0</v>
      </c>
      <c r="AK12" s="27">
        <v>0</v>
      </c>
      <c r="AL12" s="24" t="s">
        <v>103</v>
      </c>
      <c r="AM12" s="24" t="s">
        <v>72</v>
      </c>
      <c r="AN12" s="24" t="s">
        <v>104</v>
      </c>
    </row>
    <row r="13" spans="1:40" x14ac:dyDescent="0.25">
      <c r="A13" s="24" t="s">
        <v>105</v>
      </c>
      <c r="B13" s="26">
        <v>46319.978437500002</v>
      </c>
      <c r="C13" s="24" t="s">
        <v>106</v>
      </c>
      <c r="D13" s="24" t="s">
        <v>107</v>
      </c>
      <c r="E13" s="24" t="s">
        <v>68</v>
      </c>
      <c r="F13" s="24" t="s">
        <v>108</v>
      </c>
      <c r="G13" s="24" t="s">
        <v>70</v>
      </c>
      <c r="H13" s="24" t="s">
        <v>71</v>
      </c>
      <c r="I13" s="27">
        <v>30</v>
      </c>
      <c r="J13" s="28">
        <v>187.59</v>
      </c>
      <c r="K13" s="29">
        <v>3.1349999999999998</v>
      </c>
      <c r="L13" s="29">
        <v>11.391999999999999</v>
      </c>
      <c r="M13" s="29">
        <v>12.891</v>
      </c>
      <c r="N13" s="29">
        <v>24.641999999999999</v>
      </c>
      <c r="O13" s="27">
        <v>1914</v>
      </c>
      <c r="P13" s="27">
        <v>1810</v>
      </c>
      <c r="Q13" s="27">
        <v>1</v>
      </c>
      <c r="R13" s="29">
        <v>10.24025520888889</v>
      </c>
      <c r="S13" s="29">
        <v>3.0184036297650132</v>
      </c>
      <c r="T13" s="29">
        <v>12.36971914893617</v>
      </c>
      <c r="U13" s="27">
        <v>1800</v>
      </c>
      <c r="V13" s="29">
        <v>1.4783364999999999</v>
      </c>
      <c r="W13" s="29">
        <v>3.391553611111112</v>
      </c>
      <c r="X13" s="29">
        <v>3.289560986666666</v>
      </c>
      <c r="Y13" s="29">
        <v>0.72899999999999998</v>
      </c>
      <c r="Z13" s="29">
        <v>1.0649999999999999</v>
      </c>
      <c r="AA13" s="29">
        <v>0.88300000000000001</v>
      </c>
      <c r="AB13" s="29">
        <v>0.307</v>
      </c>
      <c r="AC13" s="27">
        <v>51.822000000000003</v>
      </c>
      <c r="AD13" s="27">
        <v>2928.5</v>
      </c>
      <c r="AE13" s="27">
        <v>2928.5</v>
      </c>
      <c r="AF13" s="27">
        <v>0</v>
      </c>
      <c r="AG13" s="27">
        <v>933</v>
      </c>
      <c r="AH13" s="27">
        <v>2848</v>
      </c>
      <c r="AI13" s="27">
        <v>321.5</v>
      </c>
      <c r="AJ13" s="27">
        <v>1</v>
      </c>
      <c r="AK13" s="27">
        <v>1</v>
      </c>
      <c r="AL13" s="24" t="s">
        <v>103</v>
      </c>
      <c r="AM13" s="24" t="s">
        <v>72</v>
      </c>
      <c r="AN13" s="24" t="s">
        <v>109</v>
      </c>
    </row>
    <row r="14" spans="1:40" x14ac:dyDescent="0.25">
      <c r="A14" s="24" t="s">
        <v>110</v>
      </c>
      <c r="B14" s="26">
        <v>46319.979618055557</v>
      </c>
      <c r="C14" s="24" t="s">
        <v>111</v>
      </c>
      <c r="D14" s="24" t="s">
        <v>107</v>
      </c>
      <c r="E14" s="24" t="s">
        <v>68</v>
      </c>
      <c r="F14" s="24" t="s">
        <v>102</v>
      </c>
      <c r="G14" s="24" t="s">
        <v>70</v>
      </c>
      <c r="H14" s="24" t="s">
        <v>71</v>
      </c>
      <c r="I14" s="27">
        <v>30</v>
      </c>
      <c r="J14" s="28">
        <v>240.06</v>
      </c>
      <c r="K14" s="29">
        <v>2.8050000000000002</v>
      </c>
      <c r="L14" s="29">
        <v>9.0579999999999998</v>
      </c>
      <c r="M14" s="29">
        <v>10.563000000000001</v>
      </c>
      <c r="N14" s="29">
        <v>18.271000000000001</v>
      </c>
      <c r="O14" s="27">
        <v>1877</v>
      </c>
      <c r="P14" s="27">
        <v>705</v>
      </c>
      <c r="Q14" s="27">
        <v>2</v>
      </c>
      <c r="R14" s="29">
        <v>8.3104535191560238</v>
      </c>
      <c r="S14" s="29">
        <v>2.7817231125092521</v>
      </c>
      <c r="T14" s="29">
        <v>10.01327147091413</v>
      </c>
      <c r="U14" s="27">
        <v>1801</v>
      </c>
      <c r="V14" s="29">
        <v>1.3441123264852859</v>
      </c>
      <c r="W14" s="29">
        <v>3.7472830094392</v>
      </c>
      <c r="X14" s="29">
        <v>1.2105830027762361</v>
      </c>
      <c r="Y14" s="29">
        <v>0.70799999999999996</v>
      </c>
      <c r="Z14" s="29">
        <v>0.99399999999999999</v>
      </c>
      <c r="AA14" s="29">
        <v>0.80600000000000005</v>
      </c>
      <c r="AB14" s="29">
        <v>0.25</v>
      </c>
      <c r="AC14" s="27">
        <v>51.713000000000001</v>
      </c>
      <c r="AD14" s="27">
        <v>2925</v>
      </c>
      <c r="AE14" s="27">
        <v>1025</v>
      </c>
      <c r="AF14" s="27">
        <v>1900</v>
      </c>
      <c r="AG14" s="27">
        <v>933</v>
      </c>
      <c r="AH14" s="27">
        <v>2848</v>
      </c>
      <c r="AI14" s="27">
        <v>315</v>
      </c>
      <c r="AJ14" s="27">
        <v>4</v>
      </c>
      <c r="AK14" s="27">
        <v>1</v>
      </c>
      <c r="AL14" s="24" t="s">
        <v>103</v>
      </c>
      <c r="AM14" s="24" t="s">
        <v>72</v>
      </c>
      <c r="AN14" s="24" t="s">
        <v>109</v>
      </c>
    </row>
    <row r="15" spans="1:40" x14ac:dyDescent="0.25">
      <c r="A15" s="24" t="s">
        <v>112</v>
      </c>
      <c r="B15" s="26">
        <v>46319.980833333328</v>
      </c>
      <c r="C15" s="24" t="s">
        <v>113</v>
      </c>
      <c r="D15" s="24" t="s">
        <v>107</v>
      </c>
      <c r="E15" s="24" t="s">
        <v>68</v>
      </c>
      <c r="F15" s="24" t="s">
        <v>114</v>
      </c>
      <c r="G15" s="24" t="s">
        <v>70</v>
      </c>
      <c r="H15" s="24" t="s">
        <v>71</v>
      </c>
      <c r="I15" s="27">
        <v>30</v>
      </c>
      <c r="J15" s="28">
        <v>219.25</v>
      </c>
      <c r="K15" s="29">
        <v>2.931</v>
      </c>
      <c r="L15" s="29">
        <v>9.7349999999999994</v>
      </c>
      <c r="M15" s="29">
        <v>11.519</v>
      </c>
      <c r="N15" s="29">
        <v>19.46</v>
      </c>
      <c r="O15" s="27">
        <v>1906</v>
      </c>
      <c r="P15" s="27">
        <v>1245</v>
      </c>
      <c r="Q15" s="27">
        <v>1</v>
      </c>
      <c r="R15" s="29">
        <v>8.9814281761111108</v>
      </c>
      <c r="S15" s="29">
        <v>2.8934079497907952</v>
      </c>
      <c r="T15" s="29">
        <v>10.77506229787234</v>
      </c>
      <c r="U15" s="27">
        <v>1800</v>
      </c>
      <c r="V15" s="29">
        <v>1.397573</v>
      </c>
      <c r="W15" s="29">
        <v>2.3248056111111111</v>
      </c>
      <c r="X15" s="29">
        <v>3.1989013983333341</v>
      </c>
      <c r="Y15" s="29">
        <v>0.72099999999999997</v>
      </c>
      <c r="Z15" s="29">
        <v>1.022</v>
      </c>
      <c r="AA15" s="29">
        <v>0.86</v>
      </c>
      <c r="AB15" s="29">
        <v>0.27700000000000002</v>
      </c>
      <c r="AC15" s="27">
        <v>51.87</v>
      </c>
      <c r="AD15" s="27">
        <v>2925</v>
      </c>
      <c r="AE15" s="27">
        <v>1025</v>
      </c>
      <c r="AF15" s="27">
        <v>1900</v>
      </c>
      <c r="AG15" s="27">
        <v>933</v>
      </c>
      <c r="AH15" s="27">
        <v>2848</v>
      </c>
      <c r="AI15" s="27">
        <v>315</v>
      </c>
      <c r="AJ15" s="27">
        <v>4</v>
      </c>
      <c r="AK15" s="27">
        <v>0</v>
      </c>
      <c r="AL15" s="24" t="s">
        <v>103</v>
      </c>
      <c r="AM15" s="24" t="s">
        <v>72</v>
      </c>
      <c r="AN15" s="24" t="s">
        <v>109</v>
      </c>
    </row>
    <row r="16" spans="1:40" x14ac:dyDescent="0.25">
      <c r="A16" s="24" t="s">
        <v>115</v>
      </c>
      <c r="B16" s="26">
        <v>46319.982025462959</v>
      </c>
      <c r="C16" s="24" t="s">
        <v>116</v>
      </c>
      <c r="D16" s="24" t="s">
        <v>107</v>
      </c>
      <c r="E16" s="24" t="s">
        <v>68</v>
      </c>
      <c r="F16" s="24" t="s">
        <v>117</v>
      </c>
      <c r="G16" s="24" t="s">
        <v>70</v>
      </c>
      <c r="H16" s="24" t="s">
        <v>71</v>
      </c>
      <c r="I16" s="27">
        <v>30</v>
      </c>
      <c r="J16" s="28">
        <v>204.38</v>
      </c>
      <c r="K16" s="29">
        <v>2.972</v>
      </c>
      <c r="L16" s="29">
        <v>10.401</v>
      </c>
      <c r="M16" s="29">
        <v>11.81</v>
      </c>
      <c r="N16" s="29">
        <v>22.395</v>
      </c>
      <c r="O16" s="27">
        <v>1906</v>
      </c>
      <c r="P16" s="27">
        <v>1784</v>
      </c>
      <c r="Q16" s="27">
        <v>2</v>
      </c>
      <c r="R16" s="29">
        <v>9.6497977872222229</v>
      </c>
      <c r="S16" s="29">
        <v>2.9130455694508539</v>
      </c>
      <c r="T16" s="29">
        <v>11.307066449511399</v>
      </c>
      <c r="U16" s="27">
        <v>1800</v>
      </c>
      <c r="V16" s="29">
        <v>1.437177388888889</v>
      </c>
      <c r="W16" s="29">
        <v>4.8415248333333327</v>
      </c>
      <c r="X16" s="29">
        <v>1.3124412316666669</v>
      </c>
      <c r="Y16" s="29">
        <v>0.73399999999999999</v>
      </c>
      <c r="Z16" s="29">
        <v>1.028</v>
      </c>
      <c r="AA16" s="29">
        <v>0.84499999999999997</v>
      </c>
      <c r="AB16" s="29">
        <v>0.28100000000000003</v>
      </c>
      <c r="AC16" s="27">
        <v>51.822000000000003</v>
      </c>
      <c r="AD16" s="27">
        <v>2928.5</v>
      </c>
      <c r="AE16" s="27">
        <v>2928.5</v>
      </c>
      <c r="AF16" s="27">
        <v>0</v>
      </c>
      <c r="AG16" s="27">
        <v>933</v>
      </c>
      <c r="AH16" s="27">
        <v>2848</v>
      </c>
      <c r="AI16" s="27">
        <v>320</v>
      </c>
      <c r="AJ16" s="27">
        <v>2.5</v>
      </c>
      <c r="AK16" s="27">
        <v>1</v>
      </c>
      <c r="AL16" s="24" t="s">
        <v>103</v>
      </c>
      <c r="AM16" s="24" t="s">
        <v>72</v>
      </c>
      <c r="AN16" s="24" t="s">
        <v>109</v>
      </c>
    </row>
    <row r="17" spans="1:40" x14ac:dyDescent="0.25">
      <c r="A17" s="24" t="s">
        <v>118</v>
      </c>
      <c r="B17" s="26">
        <v>46319.983229166668</v>
      </c>
      <c r="C17" s="24" t="s">
        <v>119</v>
      </c>
      <c r="D17" s="24" t="s">
        <v>107</v>
      </c>
      <c r="E17" s="24" t="s">
        <v>68</v>
      </c>
      <c r="F17" s="24" t="s">
        <v>69</v>
      </c>
      <c r="G17" s="24" t="s">
        <v>70</v>
      </c>
      <c r="H17" s="24" t="s">
        <v>71</v>
      </c>
      <c r="I17" s="27">
        <v>30</v>
      </c>
      <c r="J17" s="28">
        <v>68.430000000000007</v>
      </c>
      <c r="K17" s="29">
        <v>15.186</v>
      </c>
      <c r="L17" s="29">
        <v>19.213000000000001</v>
      </c>
      <c r="M17" s="29">
        <v>27.372</v>
      </c>
      <c r="N17" s="29">
        <v>40.610999999999997</v>
      </c>
      <c r="O17" s="27">
        <v>1959</v>
      </c>
      <c r="P17" s="27">
        <v>1781</v>
      </c>
      <c r="Q17" s="27">
        <v>629</v>
      </c>
      <c r="R17" s="29">
        <v>16.168423159078131</v>
      </c>
      <c r="S17" s="29">
        <v>4.4562992763636364</v>
      </c>
      <c r="T17" s="29">
        <v>22.205426213592229</v>
      </c>
      <c r="U17" s="27">
        <v>1779</v>
      </c>
      <c r="V17" s="29">
        <v>2.2183644182124791</v>
      </c>
      <c r="W17" s="29">
        <v>8.8062901068015744</v>
      </c>
      <c r="X17" s="29">
        <v>3.1829181562675659</v>
      </c>
      <c r="Y17" s="29">
        <v>0.72699999999999998</v>
      </c>
      <c r="Z17" s="29">
        <v>1.103</v>
      </c>
      <c r="AA17" s="29">
        <v>1.0029999999999999</v>
      </c>
      <c r="AB17" s="29">
        <v>0.36799999999999999</v>
      </c>
      <c r="AC17" s="27">
        <v>51.988</v>
      </c>
      <c r="AD17" s="27">
        <v>2920</v>
      </c>
      <c r="AE17" s="27">
        <v>2920</v>
      </c>
      <c r="AF17" s="27">
        <v>0</v>
      </c>
      <c r="AG17" s="27">
        <v>933</v>
      </c>
      <c r="AH17" s="27">
        <v>2848</v>
      </c>
      <c r="AI17" s="27">
        <v>314</v>
      </c>
      <c r="AJ17" s="27">
        <v>0</v>
      </c>
      <c r="AK17" s="27">
        <v>1</v>
      </c>
      <c r="AL17" s="24" t="s">
        <v>103</v>
      </c>
      <c r="AM17" s="24" t="s">
        <v>72</v>
      </c>
      <c r="AN17" s="24" t="s">
        <v>109</v>
      </c>
    </row>
    <row r="18" spans="1:40" x14ac:dyDescent="0.25">
      <c r="A18" s="24" t="s">
        <v>120</v>
      </c>
      <c r="B18" s="26">
        <v>46319.9844212963</v>
      </c>
      <c r="C18" s="24" t="s">
        <v>121</v>
      </c>
      <c r="D18" s="24" t="s">
        <v>107</v>
      </c>
      <c r="E18" s="24" t="s">
        <v>68</v>
      </c>
      <c r="F18" s="24" t="s">
        <v>69</v>
      </c>
      <c r="G18" s="24" t="s">
        <v>70</v>
      </c>
      <c r="H18" s="24" t="s">
        <v>71</v>
      </c>
      <c r="I18" s="27">
        <v>30</v>
      </c>
      <c r="J18" s="28">
        <v>63.46</v>
      </c>
      <c r="K18" s="29">
        <v>15.631</v>
      </c>
      <c r="L18" s="29">
        <v>20.093</v>
      </c>
      <c r="M18" s="29">
        <v>31.6</v>
      </c>
      <c r="N18" s="29">
        <v>41.244</v>
      </c>
      <c r="O18" s="27">
        <v>1870</v>
      </c>
      <c r="P18" s="27">
        <v>1759</v>
      </c>
      <c r="Q18" s="27">
        <v>709</v>
      </c>
      <c r="R18" s="29">
        <v>16.681734926052329</v>
      </c>
      <c r="S18" s="29">
        <v>4.525261904761904</v>
      </c>
      <c r="T18" s="29">
        <v>25.38123229166667</v>
      </c>
      <c r="U18" s="27">
        <v>1758</v>
      </c>
      <c r="V18" s="29">
        <v>2.2515300341296931</v>
      </c>
      <c r="W18" s="29">
        <v>9.3014141069397045</v>
      </c>
      <c r="X18" s="29">
        <v>3.1686422070534701</v>
      </c>
      <c r="Y18" s="29">
        <v>0.72699999999999998</v>
      </c>
      <c r="Z18" s="29">
        <v>1.121</v>
      </c>
      <c r="AA18" s="29">
        <v>0.999</v>
      </c>
      <c r="AB18" s="29">
        <v>0.26600000000000001</v>
      </c>
      <c r="AC18" s="27">
        <v>51.908000000000001</v>
      </c>
      <c r="AD18" s="27">
        <v>2920.3330000000001</v>
      </c>
      <c r="AE18" s="27">
        <v>2920.3330000000001</v>
      </c>
      <c r="AF18" s="27">
        <v>0</v>
      </c>
      <c r="AG18" s="27">
        <v>933</v>
      </c>
      <c r="AH18" s="27">
        <v>2848</v>
      </c>
      <c r="AI18" s="27">
        <v>312.33300000000003</v>
      </c>
      <c r="AJ18" s="27">
        <v>2</v>
      </c>
      <c r="AK18" s="27">
        <v>1</v>
      </c>
      <c r="AL18" s="24" t="s">
        <v>103</v>
      </c>
      <c r="AM18" s="24" t="s">
        <v>72</v>
      </c>
      <c r="AN18" s="24" t="s">
        <v>109</v>
      </c>
    </row>
    <row r="19" spans="1:40" x14ac:dyDescent="0.25">
      <c r="A19" s="24" t="s">
        <v>122</v>
      </c>
      <c r="B19" s="26">
        <v>46319.985590277778</v>
      </c>
      <c r="C19" s="24" t="s">
        <v>123</v>
      </c>
      <c r="D19" s="24" t="s">
        <v>107</v>
      </c>
      <c r="E19" s="24" t="s">
        <v>68</v>
      </c>
      <c r="F19" s="24" t="s">
        <v>117</v>
      </c>
      <c r="G19" s="24" t="s">
        <v>70</v>
      </c>
      <c r="H19" s="24" t="s">
        <v>71</v>
      </c>
      <c r="I19" s="27">
        <v>30</v>
      </c>
      <c r="J19" s="28">
        <v>223.5</v>
      </c>
      <c r="K19" s="29">
        <v>2.7879999999999998</v>
      </c>
      <c r="L19" s="29">
        <v>9.8650000000000002</v>
      </c>
      <c r="M19" s="29">
        <v>11.179</v>
      </c>
      <c r="N19" s="29">
        <v>23.035</v>
      </c>
      <c r="O19" s="27">
        <v>1872</v>
      </c>
      <c r="P19" s="27">
        <v>1531</v>
      </c>
      <c r="Q19" s="27">
        <v>1</v>
      </c>
      <c r="R19" s="29">
        <v>9.1665297151582461</v>
      </c>
      <c r="S19" s="29">
        <v>2.748724551752241</v>
      </c>
      <c r="T19" s="29">
        <v>10.674263985119049</v>
      </c>
      <c r="U19" s="27">
        <v>1801</v>
      </c>
      <c r="V19" s="29">
        <v>1.383640644086618</v>
      </c>
      <c r="W19" s="29">
        <v>4.6508931704608543</v>
      </c>
      <c r="X19" s="29">
        <v>1.1984548123264851</v>
      </c>
      <c r="Y19" s="29">
        <v>0.67700000000000005</v>
      </c>
      <c r="Z19" s="29">
        <v>0.98299999999999998</v>
      </c>
      <c r="AA19" s="29">
        <v>0.77900000000000003</v>
      </c>
      <c r="AB19" s="29">
        <v>0.27</v>
      </c>
      <c r="AC19" s="27">
        <v>51.781999999999996</v>
      </c>
      <c r="AD19" s="27">
        <v>2925</v>
      </c>
      <c r="AE19" s="27">
        <v>2925</v>
      </c>
      <c r="AF19" s="27">
        <v>0</v>
      </c>
      <c r="AG19" s="27">
        <v>933</v>
      </c>
      <c r="AH19" s="27">
        <v>2848</v>
      </c>
      <c r="AI19" s="27">
        <v>318</v>
      </c>
      <c r="AJ19" s="27">
        <v>1</v>
      </c>
      <c r="AK19" s="27">
        <v>1</v>
      </c>
      <c r="AL19" s="24" t="s">
        <v>103</v>
      </c>
      <c r="AM19" s="24" t="s">
        <v>72</v>
      </c>
      <c r="AN19" s="24" t="s">
        <v>109</v>
      </c>
    </row>
    <row r="20" spans="1:40" x14ac:dyDescent="0.25">
      <c r="A20" s="24" t="s">
        <v>124</v>
      </c>
      <c r="B20" s="26">
        <v>46319.986793981479</v>
      </c>
      <c r="C20" s="24" t="s">
        <v>125</v>
      </c>
      <c r="D20" s="24" t="s">
        <v>107</v>
      </c>
      <c r="E20" s="24" t="s">
        <v>68</v>
      </c>
      <c r="F20" s="24" t="s">
        <v>114</v>
      </c>
      <c r="G20" s="24" t="s">
        <v>70</v>
      </c>
      <c r="H20" s="24" t="s">
        <v>71</v>
      </c>
      <c r="I20" s="27">
        <v>30</v>
      </c>
      <c r="J20" s="28">
        <v>227.31</v>
      </c>
      <c r="K20" s="29">
        <v>2.875</v>
      </c>
      <c r="L20" s="29">
        <v>9.484</v>
      </c>
      <c r="M20" s="29">
        <v>11.13</v>
      </c>
      <c r="N20" s="29">
        <v>17.625</v>
      </c>
      <c r="O20" s="27">
        <v>1899</v>
      </c>
      <c r="P20" s="27">
        <v>1010</v>
      </c>
      <c r="Q20" s="27">
        <v>1</v>
      </c>
      <c r="R20" s="29">
        <v>8.739099458634092</v>
      </c>
      <c r="S20" s="29">
        <v>2.84008972276439</v>
      </c>
      <c r="T20" s="29">
        <v>10.543185099415201</v>
      </c>
      <c r="U20" s="27">
        <v>1801</v>
      </c>
      <c r="V20" s="29">
        <v>1.3542169350360911</v>
      </c>
      <c r="W20" s="29">
        <v>2.1800191560244309</v>
      </c>
      <c r="X20" s="29">
        <v>3.1660212798445309</v>
      </c>
      <c r="Y20" s="29">
        <v>0.70799999999999996</v>
      </c>
      <c r="Z20" s="29">
        <v>1.008</v>
      </c>
      <c r="AA20" s="29">
        <v>0.84699999999999998</v>
      </c>
      <c r="AB20" s="29">
        <v>0.27100000000000002</v>
      </c>
      <c r="AC20" s="27">
        <v>51.835999999999999</v>
      </c>
      <c r="AD20" s="27">
        <v>2925</v>
      </c>
      <c r="AE20" s="27">
        <v>1025</v>
      </c>
      <c r="AF20" s="27">
        <v>1900</v>
      </c>
      <c r="AG20" s="27">
        <v>933</v>
      </c>
      <c r="AH20" s="27">
        <v>2848</v>
      </c>
      <c r="AI20" s="27">
        <v>316.33300000000003</v>
      </c>
      <c r="AJ20" s="27">
        <v>2.6669999999999998</v>
      </c>
      <c r="AK20" s="27">
        <v>0</v>
      </c>
      <c r="AL20" s="24" t="s">
        <v>103</v>
      </c>
      <c r="AM20" s="24" t="s">
        <v>72</v>
      </c>
      <c r="AN20" s="24" t="s">
        <v>109</v>
      </c>
    </row>
    <row r="21" spans="1:40" x14ac:dyDescent="0.25">
      <c r="A21" s="24" t="s">
        <v>126</v>
      </c>
      <c r="B21" s="26">
        <v>46319.987974537027</v>
      </c>
      <c r="C21" s="24" t="s">
        <v>127</v>
      </c>
      <c r="D21" s="24" t="s">
        <v>107</v>
      </c>
      <c r="E21" s="24" t="s">
        <v>68</v>
      </c>
      <c r="F21" s="24" t="s">
        <v>102</v>
      </c>
      <c r="G21" s="24" t="s">
        <v>70</v>
      </c>
      <c r="H21" s="24" t="s">
        <v>71</v>
      </c>
      <c r="I21" s="27">
        <v>30</v>
      </c>
      <c r="J21" s="28">
        <v>237.03</v>
      </c>
      <c r="K21" s="29">
        <v>2.8210000000000002</v>
      </c>
      <c r="L21" s="29">
        <v>9.0280000000000005</v>
      </c>
      <c r="M21" s="29">
        <v>10.593999999999999</v>
      </c>
      <c r="N21" s="29">
        <v>18.981000000000002</v>
      </c>
      <c r="O21" s="27">
        <v>1893</v>
      </c>
      <c r="P21" s="27">
        <v>777</v>
      </c>
      <c r="Q21" s="27">
        <v>1</v>
      </c>
      <c r="R21" s="29">
        <v>8.3888831771238213</v>
      </c>
      <c r="S21" s="29">
        <v>2.80256692998306</v>
      </c>
      <c r="T21" s="29">
        <v>9.948117946629214</v>
      </c>
      <c r="U21" s="27">
        <v>1801</v>
      </c>
      <c r="V21" s="29">
        <v>1.3543021654636309</v>
      </c>
      <c r="W21" s="29">
        <v>3.8036646862853969</v>
      </c>
      <c r="X21" s="29">
        <v>1.2414707395891169</v>
      </c>
      <c r="Y21" s="29">
        <v>0.69099999999999995</v>
      </c>
      <c r="Z21" s="29">
        <v>0.996</v>
      </c>
      <c r="AA21" s="29">
        <v>0.83399999999999996</v>
      </c>
      <c r="AB21" s="29">
        <v>0.25900000000000001</v>
      </c>
      <c r="AC21" s="27">
        <v>51.886000000000003</v>
      </c>
      <c r="AD21" s="27">
        <v>2928.5</v>
      </c>
      <c r="AE21" s="27">
        <v>1028.5</v>
      </c>
      <c r="AF21" s="27">
        <v>1900</v>
      </c>
      <c r="AG21" s="27">
        <v>933</v>
      </c>
      <c r="AH21" s="27">
        <v>2848</v>
      </c>
      <c r="AI21" s="27">
        <v>318.5</v>
      </c>
      <c r="AJ21" s="27">
        <v>4</v>
      </c>
      <c r="AK21" s="27">
        <v>1</v>
      </c>
      <c r="AL21" s="24" t="s">
        <v>103</v>
      </c>
      <c r="AM21" s="24" t="s">
        <v>72</v>
      </c>
      <c r="AN21" s="24" t="s">
        <v>109</v>
      </c>
    </row>
    <row r="22" spans="1:40" x14ac:dyDescent="0.25">
      <c r="A22" s="24" t="s">
        <v>128</v>
      </c>
      <c r="B22" s="26">
        <v>46319.989178240743</v>
      </c>
      <c r="C22" s="24" t="s">
        <v>129</v>
      </c>
      <c r="D22" s="24" t="s">
        <v>107</v>
      </c>
      <c r="E22" s="24" t="s">
        <v>68</v>
      </c>
      <c r="F22" s="24" t="s">
        <v>108</v>
      </c>
      <c r="G22" s="24" t="s">
        <v>70</v>
      </c>
      <c r="H22" s="24" t="s">
        <v>71</v>
      </c>
      <c r="I22" s="27">
        <v>30</v>
      </c>
      <c r="J22" s="28">
        <v>194.38</v>
      </c>
      <c r="K22" s="29">
        <v>3.0259999999999998</v>
      </c>
      <c r="L22" s="29">
        <v>10.925000000000001</v>
      </c>
      <c r="M22" s="29">
        <v>12.829000000000001</v>
      </c>
      <c r="N22" s="29">
        <v>22.620999999999999</v>
      </c>
      <c r="O22" s="27">
        <v>1895</v>
      </c>
      <c r="P22" s="27">
        <v>1805</v>
      </c>
      <c r="Q22" s="27">
        <v>5</v>
      </c>
      <c r="R22" s="29">
        <v>10.070059881666671</v>
      </c>
      <c r="S22" s="29">
        <v>2.9422972979672779</v>
      </c>
      <c r="T22" s="29">
        <v>12.035279452054789</v>
      </c>
      <c r="U22" s="27">
        <v>1800</v>
      </c>
      <c r="V22" s="29">
        <v>1.437454444444445</v>
      </c>
      <c r="W22" s="29">
        <v>3.3160609999999999</v>
      </c>
      <c r="X22" s="29">
        <v>3.2352664372222222</v>
      </c>
      <c r="Y22" s="29">
        <v>0.73399999999999999</v>
      </c>
      <c r="Z22" s="29">
        <v>1.038</v>
      </c>
      <c r="AA22" s="29">
        <v>0.86599999999999999</v>
      </c>
      <c r="AB22" s="29">
        <v>0.29499999999999998</v>
      </c>
      <c r="AC22" s="27">
        <v>51.884</v>
      </c>
      <c r="AD22" s="27">
        <v>2928.5</v>
      </c>
      <c r="AE22" s="27">
        <v>2928.5</v>
      </c>
      <c r="AF22" s="27">
        <v>0</v>
      </c>
      <c r="AG22" s="27">
        <v>933</v>
      </c>
      <c r="AH22" s="27">
        <v>2848</v>
      </c>
      <c r="AI22" s="27">
        <v>318.5</v>
      </c>
      <c r="AJ22" s="27">
        <v>4</v>
      </c>
      <c r="AK22" s="27">
        <v>1</v>
      </c>
      <c r="AL22" s="24" t="s">
        <v>103</v>
      </c>
      <c r="AM22" s="24" t="s">
        <v>72</v>
      </c>
      <c r="AN22" s="24" t="s">
        <v>109</v>
      </c>
    </row>
    <row r="23" spans="1:40" x14ac:dyDescent="0.25">
      <c r="A23" s="24" t="s">
        <v>130</v>
      </c>
      <c r="B23" s="26">
        <v>46319.993055555547</v>
      </c>
      <c r="C23" s="24" t="s">
        <v>131</v>
      </c>
      <c r="D23" s="24" t="s">
        <v>101</v>
      </c>
      <c r="E23" s="24" t="s">
        <v>68</v>
      </c>
      <c r="F23" s="24" t="s">
        <v>102</v>
      </c>
      <c r="G23" s="24" t="s">
        <v>70</v>
      </c>
      <c r="H23" s="24" t="s">
        <v>71</v>
      </c>
      <c r="I23" s="27">
        <v>20</v>
      </c>
      <c r="J23" s="28">
        <v>248.59</v>
      </c>
      <c r="K23" s="29">
        <v>2.7930000000000001</v>
      </c>
      <c r="L23" s="29">
        <v>8.5749999999999993</v>
      </c>
      <c r="M23" s="29">
        <v>9.8170000000000002</v>
      </c>
      <c r="N23" s="29">
        <v>19.498000000000001</v>
      </c>
      <c r="O23" s="27">
        <v>1238</v>
      </c>
      <c r="P23" s="27">
        <v>325</v>
      </c>
      <c r="Q23" s="27">
        <v>1</v>
      </c>
      <c r="R23" s="29">
        <v>7.9528432649999994</v>
      </c>
      <c r="S23" s="29">
        <v>2.768618314603764</v>
      </c>
      <c r="T23" s="29">
        <v>9.3632064618473887</v>
      </c>
      <c r="U23" s="27">
        <v>1200</v>
      </c>
      <c r="V23" s="29">
        <v>0.98268808333333335</v>
      </c>
      <c r="W23" s="29">
        <v>3.8286721666666672</v>
      </c>
      <c r="X23" s="29">
        <v>1.1717010983333329</v>
      </c>
      <c r="Y23" s="29">
        <v>0.69299999999999995</v>
      </c>
      <c r="Z23" s="29">
        <v>0.98099999999999998</v>
      </c>
      <c r="AA23" s="29">
        <v>0.79500000000000004</v>
      </c>
      <c r="AB23" s="29">
        <v>0.26300000000000001</v>
      </c>
      <c r="AC23" s="27">
        <v>52.197000000000003</v>
      </c>
      <c r="AD23" s="27">
        <v>2928.5</v>
      </c>
      <c r="AE23" s="27">
        <v>1028.5</v>
      </c>
      <c r="AF23" s="27">
        <v>1900</v>
      </c>
      <c r="AG23" s="27">
        <v>933</v>
      </c>
      <c r="AH23" s="27">
        <v>2848</v>
      </c>
      <c r="AI23" s="27">
        <v>322.5</v>
      </c>
      <c r="AJ23" s="27">
        <v>0</v>
      </c>
      <c r="AK23" s="27">
        <v>1</v>
      </c>
      <c r="AL23" s="24" t="s">
        <v>103</v>
      </c>
      <c r="AM23" s="24" t="s">
        <v>72</v>
      </c>
      <c r="AN23" s="24" t="s">
        <v>104</v>
      </c>
    </row>
    <row r="24" spans="1:40" x14ac:dyDescent="0.25">
      <c r="A24" s="24" t="s">
        <v>132</v>
      </c>
      <c r="B24" s="26">
        <v>46319.993530092594</v>
      </c>
      <c r="C24" s="24" t="s">
        <v>133</v>
      </c>
      <c r="D24" s="24" t="s">
        <v>134</v>
      </c>
      <c r="E24" s="24" t="s">
        <v>68</v>
      </c>
      <c r="F24" s="24" t="s">
        <v>102</v>
      </c>
      <c r="G24" s="24" t="s">
        <v>70</v>
      </c>
      <c r="H24" s="24" t="s">
        <v>71</v>
      </c>
      <c r="I24" s="27">
        <v>15</v>
      </c>
      <c r="J24" s="28">
        <v>230.02</v>
      </c>
      <c r="K24" s="29">
        <v>2.968</v>
      </c>
      <c r="L24" s="29">
        <v>9.14</v>
      </c>
      <c r="M24" s="29">
        <v>10.885</v>
      </c>
      <c r="N24" s="29">
        <v>20.303999999999998</v>
      </c>
      <c r="O24" s="27">
        <v>960</v>
      </c>
      <c r="P24" s="27">
        <v>389</v>
      </c>
      <c r="Q24" s="27">
        <v>1</v>
      </c>
      <c r="R24" s="29">
        <v>8.367679164261931</v>
      </c>
      <c r="S24" s="29">
        <v>2.9223343517430469</v>
      </c>
      <c r="T24" s="29">
        <v>10.125479202312141</v>
      </c>
      <c r="U24" s="27">
        <v>901</v>
      </c>
      <c r="V24" s="29">
        <v>1.029259378468369</v>
      </c>
      <c r="W24" s="29">
        <v>4.0051938956714759</v>
      </c>
      <c r="X24" s="29">
        <v>1.250537987791343</v>
      </c>
      <c r="Y24" s="29">
        <v>0.74099999999999999</v>
      </c>
      <c r="Z24" s="29">
        <v>1.0329999999999999</v>
      </c>
      <c r="AA24" s="29">
        <v>0.83799999999999997</v>
      </c>
      <c r="AB24" s="29">
        <v>0.27700000000000002</v>
      </c>
      <c r="AC24" s="27">
        <v>49.896000000000001</v>
      </c>
      <c r="AD24" s="27">
        <v>2928.5</v>
      </c>
      <c r="AE24" s="27">
        <v>1028.5</v>
      </c>
      <c r="AF24" s="27">
        <v>1900</v>
      </c>
      <c r="AG24" s="27">
        <v>933</v>
      </c>
      <c r="AH24" s="27">
        <v>2848</v>
      </c>
      <c r="AI24" s="27">
        <v>322.5</v>
      </c>
      <c r="AJ24" s="27">
        <v>0</v>
      </c>
      <c r="AK24" s="27">
        <v>0</v>
      </c>
      <c r="AL24" s="24" t="s">
        <v>103</v>
      </c>
      <c r="AM24" s="24" t="s">
        <v>72</v>
      </c>
      <c r="AN24" s="24" t="s">
        <v>135</v>
      </c>
    </row>
    <row r="25" spans="1:40" x14ac:dyDescent="0.25">
      <c r="A25" s="24" t="s">
        <v>136</v>
      </c>
      <c r="B25" s="26">
        <v>46319.993750000001</v>
      </c>
      <c r="C25" s="24" t="s">
        <v>137</v>
      </c>
      <c r="D25" s="24" t="s">
        <v>134</v>
      </c>
      <c r="E25" s="24" t="s">
        <v>68</v>
      </c>
      <c r="F25" s="24" t="s">
        <v>102</v>
      </c>
      <c r="G25" s="24" t="s">
        <v>70</v>
      </c>
      <c r="H25" s="24" t="s">
        <v>71</v>
      </c>
      <c r="I25" s="27">
        <v>15</v>
      </c>
      <c r="J25" s="28">
        <v>264.99</v>
      </c>
      <c r="K25" s="29">
        <v>2.601</v>
      </c>
      <c r="L25" s="29">
        <v>8.234</v>
      </c>
      <c r="M25" s="29">
        <v>9.2880000000000003</v>
      </c>
      <c r="N25" s="29">
        <v>16.885000000000002</v>
      </c>
      <c r="O25" s="27">
        <v>916</v>
      </c>
      <c r="P25" s="27">
        <v>174</v>
      </c>
      <c r="Q25" s="27">
        <v>1</v>
      </c>
      <c r="R25" s="29">
        <v>7.7905013266666669</v>
      </c>
      <c r="S25" s="29">
        <v>2.5942975946033808</v>
      </c>
      <c r="T25" s="29">
        <v>8.9079828894472364</v>
      </c>
      <c r="U25" s="27">
        <v>900</v>
      </c>
      <c r="V25" s="29">
        <v>0.99007311111111107</v>
      </c>
      <c r="W25" s="29">
        <v>3.8647801111111111</v>
      </c>
      <c r="X25" s="29">
        <v>1.173238104444444</v>
      </c>
      <c r="Y25" s="29">
        <v>0.504</v>
      </c>
      <c r="Z25" s="29">
        <v>0.98199999999999998</v>
      </c>
      <c r="AA25" s="29">
        <v>0.79400000000000004</v>
      </c>
      <c r="AB25" s="29">
        <v>0.26500000000000001</v>
      </c>
      <c r="AC25" s="27">
        <v>49.933999999999997</v>
      </c>
      <c r="AD25" s="27">
        <v>2922</v>
      </c>
      <c r="AE25" s="27">
        <v>1022</v>
      </c>
      <c r="AF25" s="27">
        <v>1900</v>
      </c>
      <c r="AG25" s="27">
        <v>933</v>
      </c>
      <c r="AH25" s="27">
        <v>2848</v>
      </c>
      <c r="AI25" s="27">
        <v>316</v>
      </c>
      <c r="AJ25" s="27">
        <v>0</v>
      </c>
      <c r="AK25" s="27">
        <v>0</v>
      </c>
      <c r="AL25" s="24" t="s">
        <v>103</v>
      </c>
      <c r="AM25" s="24" t="s">
        <v>72</v>
      </c>
      <c r="AN25" s="24" t="s">
        <v>138</v>
      </c>
    </row>
    <row r="26" spans="1:40" x14ac:dyDescent="0.25">
      <c r="A26" s="24" t="s">
        <v>139</v>
      </c>
      <c r="B26" s="26">
        <v>46319.993969907409</v>
      </c>
      <c r="C26" s="24" t="s">
        <v>140</v>
      </c>
      <c r="D26" s="24" t="s">
        <v>134</v>
      </c>
      <c r="E26" s="24" t="s">
        <v>68</v>
      </c>
      <c r="F26" s="24" t="s">
        <v>102</v>
      </c>
      <c r="G26" s="24" t="s">
        <v>70</v>
      </c>
      <c r="H26" s="24" t="s">
        <v>71</v>
      </c>
      <c r="I26" s="27">
        <v>15</v>
      </c>
      <c r="J26" s="28">
        <v>247.66</v>
      </c>
      <c r="K26" s="29">
        <v>2.7090000000000001</v>
      </c>
      <c r="L26" s="29">
        <v>8.9019999999999992</v>
      </c>
      <c r="M26" s="29">
        <v>10.743</v>
      </c>
      <c r="N26" s="29">
        <v>17.786000000000001</v>
      </c>
      <c r="O26" s="27">
        <v>942</v>
      </c>
      <c r="P26" s="27">
        <v>322</v>
      </c>
      <c r="Q26" s="27">
        <v>1</v>
      </c>
      <c r="R26" s="29">
        <v>8.2144320088888882</v>
      </c>
      <c r="S26" s="29">
        <v>2.699082717885025</v>
      </c>
      <c r="T26" s="29">
        <v>9.9409311774193547</v>
      </c>
      <c r="U26" s="27">
        <v>900</v>
      </c>
      <c r="V26" s="29">
        <v>1.041621555555555</v>
      </c>
      <c r="W26" s="29">
        <v>4.0450643333333334</v>
      </c>
      <c r="X26" s="29">
        <v>1.2527728977777779</v>
      </c>
      <c r="Y26" s="29">
        <v>0.52500000000000002</v>
      </c>
      <c r="Z26" s="29">
        <v>1.034</v>
      </c>
      <c r="AA26" s="29">
        <v>0.83799999999999997</v>
      </c>
      <c r="AB26" s="29">
        <v>0.26800000000000002</v>
      </c>
      <c r="AC26" s="27">
        <v>49.814</v>
      </c>
      <c r="AD26" s="27">
        <v>2928.5</v>
      </c>
      <c r="AE26" s="27">
        <v>1028.5</v>
      </c>
      <c r="AF26" s="27">
        <v>1900</v>
      </c>
      <c r="AG26" s="27">
        <v>933</v>
      </c>
      <c r="AH26" s="27">
        <v>2848</v>
      </c>
      <c r="AI26" s="27">
        <v>322.5</v>
      </c>
      <c r="AJ26" s="27">
        <v>0</v>
      </c>
      <c r="AK26" s="27">
        <v>0</v>
      </c>
      <c r="AL26" s="24" t="s">
        <v>103</v>
      </c>
      <c r="AM26" s="24" t="s">
        <v>72</v>
      </c>
      <c r="AN26" s="24" t="s">
        <v>141</v>
      </c>
    </row>
    <row r="27" spans="1:40" x14ac:dyDescent="0.25">
      <c r="A27" s="24" t="s">
        <v>142</v>
      </c>
      <c r="B27" s="26">
        <v>46319.994189814817</v>
      </c>
      <c r="C27" s="24" t="s">
        <v>143</v>
      </c>
      <c r="D27" s="24" t="s">
        <v>134</v>
      </c>
      <c r="E27" s="24" t="s">
        <v>68</v>
      </c>
      <c r="F27" s="24" t="s">
        <v>102</v>
      </c>
      <c r="G27" s="24" t="s">
        <v>70</v>
      </c>
      <c r="H27" s="24" t="s">
        <v>71</v>
      </c>
      <c r="I27" s="27">
        <v>15</v>
      </c>
      <c r="J27" s="28">
        <v>228.14</v>
      </c>
      <c r="K27" s="29">
        <v>2.8490000000000002</v>
      </c>
      <c r="L27" s="29">
        <v>9.8279999999999994</v>
      </c>
      <c r="M27" s="29">
        <v>12.278</v>
      </c>
      <c r="N27" s="29">
        <v>20.69</v>
      </c>
      <c r="O27" s="27">
        <v>965</v>
      </c>
      <c r="P27" s="27">
        <v>448</v>
      </c>
      <c r="Q27" s="27">
        <v>1</v>
      </c>
      <c r="R27" s="29">
        <v>8.7511656766666661</v>
      </c>
      <c r="S27" s="29">
        <v>2.8193354199683038</v>
      </c>
      <c r="T27" s="29">
        <v>11.284867430232559</v>
      </c>
      <c r="U27" s="27">
        <v>900</v>
      </c>
      <c r="V27" s="29">
        <v>1.106164555555555</v>
      </c>
      <c r="W27" s="29">
        <v>4.306292</v>
      </c>
      <c r="X27" s="29">
        <v>1.347284232222222</v>
      </c>
      <c r="Y27" s="29">
        <v>0.54100000000000004</v>
      </c>
      <c r="Z27" s="29">
        <v>1.1000000000000001</v>
      </c>
      <c r="AA27" s="29">
        <v>0.88800000000000001</v>
      </c>
      <c r="AB27" s="29">
        <v>0.27700000000000002</v>
      </c>
      <c r="AC27" s="27">
        <v>49.534999999999997</v>
      </c>
      <c r="AD27" s="27">
        <v>2928.5</v>
      </c>
      <c r="AE27" s="27">
        <v>1028.5</v>
      </c>
      <c r="AF27" s="27">
        <v>1900</v>
      </c>
      <c r="AG27" s="27">
        <v>933</v>
      </c>
      <c r="AH27" s="27">
        <v>2848</v>
      </c>
      <c r="AI27" s="27">
        <v>322.5</v>
      </c>
      <c r="AJ27" s="27">
        <v>0</v>
      </c>
      <c r="AK27" s="27">
        <v>0</v>
      </c>
      <c r="AL27" s="24" t="s">
        <v>103</v>
      </c>
      <c r="AM27" s="24" t="s">
        <v>72</v>
      </c>
      <c r="AN27" s="24" t="s">
        <v>144</v>
      </c>
    </row>
    <row r="28" spans="1:40" x14ac:dyDescent="0.25">
      <c r="A28" s="24" t="s">
        <v>145</v>
      </c>
      <c r="B28" s="26">
        <v>46319.994398148148</v>
      </c>
      <c r="C28" s="24" t="s">
        <v>146</v>
      </c>
      <c r="D28" s="24" t="s">
        <v>134</v>
      </c>
      <c r="E28" s="24" t="s">
        <v>68</v>
      </c>
      <c r="F28" s="24" t="s">
        <v>102</v>
      </c>
      <c r="G28" s="24" t="s">
        <v>70</v>
      </c>
      <c r="H28" s="24" t="s">
        <v>71</v>
      </c>
      <c r="I28" s="27">
        <v>15</v>
      </c>
      <c r="J28" s="28">
        <v>260.11</v>
      </c>
      <c r="K28" s="29">
        <v>2.597</v>
      </c>
      <c r="L28" s="29">
        <v>8.4789999999999992</v>
      </c>
      <c r="M28" s="29">
        <v>9.7370000000000001</v>
      </c>
      <c r="N28" s="29">
        <v>16.902999999999999</v>
      </c>
      <c r="O28" s="27">
        <v>916</v>
      </c>
      <c r="P28" s="27">
        <v>241</v>
      </c>
      <c r="Q28" s="27">
        <v>1</v>
      </c>
      <c r="R28" s="29">
        <v>7.9700621299999996</v>
      </c>
      <c r="S28" s="29">
        <v>2.6041154790279628</v>
      </c>
      <c r="T28" s="29">
        <v>9.2258561785714281</v>
      </c>
      <c r="U28" s="27">
        <v>900</v>
      </c>
      <c r="V28" s="29">
        <v>1.029932111111111</v>
      </c>
      <c r="W28" s="29">
        <v>3.9929401111111109</v>
      </c>
      <c r="X28" s="29">
        <v>1.2012900188888891</v>
      </c>
      <c r="Y28" s="29">
        <v>0.47799999999999998</v>
      </c>
      <c r="Z28" s="29">
        <v>1.0129999999999999</v>
      </c>
      <c r="AA28" s="29">
        <v>0.82199999999999995</v>
      </c>
      <c r="AB28" s="29">
        <v>0.27</v>
      </c>
      <c r="AC28" s="27">
        <v>48.954999999999998</v>
      </c>
      <c r="AD28" s="27">
        <v>2928.5</v>
      </c>
      <c r="AE28" s="27">
        <v>1028.5</v>
      </c>
      <c r="AF28" s="27">
        <v>1900</v>
      </c>
      <c r="AG28" s="27">
        <v>933</v>
      </c>
      <c r="AH28" s="27">
        <v>2848</v>
      </c>
      <c r="AI28" s="27">
        <v>322.5</v>
      </c>
      <c r="AJ28" s="27">
        <v>0</v>
      </c>
      <c r="AK28" s="27">
        <v>0</v>
      </c>
      <c r="AL28" s="24" t="s">
        <v>103</v>
      </c>
      <c r="AM28" s="24" t="s">
        <v>72</v>
      </c>
      <c r="AN28" s="24" t="s">
        <v>147</v>
      </c>
    </row>
    <row r="29" spans="1:40" x14ac:dyDescent="0.25">
      <c r="A29" s="24" t="s">
        <v>148</v>
      </c>
      <c r="B29" s="26">
        <v>46319.996747685182</v>
      </c>
      <c r="C29" s="24" t="s">
        <v>149</v>
      </c>
      <c r="D29" s="24" t="s">
        <v>101</v>
      </c>
      <c r="E29" s="24" t="s">
        <v>68</v>
      </c>
      <c r="F29" s="24" t="s">
        <v>102</v>
      </c>
      <c r="G29" s="24" t="s">
        <v>70</v>
      </c>
      <c r="H29" s="24" t="s">
        <v>71</v>
      </c>
      <c r="I29" s="27">
        <v>20</v>
      </c>
      <c r="J29" s="28">
        <v>255.02</v>
      </c>
      <c r="K29" s="29">
        <v>2.6680000000000001</v>
      </c>
      <c r="L29" s="29">
        <v>8.6059999999999999</v>
      </c>
      <c r="M29" s="29">
        <v>9.875</v>
      </c>
      <c r="N29" s="29">
        <v>16.655000000000001</v>
      </c>
      <c r="O29" s="27">
        <v>1239</v>
      </c>
      <c r="P29" s="27">
        <v>344</v>
      </c>
      <c r="Q29" s="27">
        <v>0</v>
      </c>
      <c r="R29" s="29">
        <v>8.0195734083333345</v>
      </c>
      <c r="S29" s="29">
        <v>2.6577624295233209</v>
      </c>
      <c r="T29" s="29">
        <v>9.4271718632812505</v>
      </c>
      <c r="U29" s="27">
        <v>1200</v>
      </c>
      <c r="V29" s="29">
        <v>0.98181633333333329</v>
      </c>
      <c r="W29" s="29">
        <v>3.8737689999999998</v>
      </c>
      <c r="X29" s="29">
        <v>1.1973010749999999</v>
      </c>
      <c r="Y29" s="29">
        <v>0.61199999999999999</v>
      </c>
      <c r="Z29" s="29">
        <v>0.98799999999999999</v>
      </c>
      <c r="AA29" s="29">
        <v>0.78600000000000003</v>
      </c>
      <c r="AB29" s="29">
        <v>0.26600000000000001</v>
      </c>
      <c r="AC29" s="27">
        <v>53.341999999999999</v>
      </c>
      <c r="AD29" s="27">
        <v>2920.5</v>
      </c>
      <c r="AE29" s="27">
        <v>1020.5</v>
      </c>
      <c r="AF29" s="27">
        <v>1900</v>
      </c>
      <c r="AG29" s="27">
        <v>933</v>
      </c>
      <c r="AH29" s="27">
        <v>2848</v>
      </c>
      <c r="AI29" s="27">
        <v>314.5</v>
      </c>
      <c r="AJ29" s="27">
        <v>0</v>
      </c>
      <c r="AK29" s="27">
        <v>1</v>
      </c>
      <c r="AL29" s="24" t="s">
        <v>103</v>
      </c>
      <c r="AM29" s="24" t="s">
        <v>72</v>
      </c>
      <c r="AN29" s="24" t="s">
        <v>104</v>
      </c>
    </row>
    <row r="30" spans="1:40" x14ac:dyDescent="0.25">
      <c r="A30" s="24" t="s">
        <v>150</v>
      </c>
      <c r="B30" s="26">
        <v>46319.997141203698</v>
      </c>
      <c r="C30" s="24" t="s">
        <v>151</v>
      </c>
      <c r="D30" s="24" t="s">
        <v>82</v>
      </c>
      <c r="E30" s="24" t="s">
        <v>68</v>
      </c>
      <c r="F30" s="24" t="s">
        <v>102</v>
      </c>
      <c r="G30" s="24" t="s">
        <v>70</v>
      </c>
      <c r="H30" s="24" t="s">
        <v>71</v>
      </c>
      <c r="I30" s="27">
        <v>15</v>
      </c>
      <c r="J30" s="28">
        <v>250.27</v>
      </c>
      <c r="K30" s="29">
        <v>2.718</v>
      </c>
      <c r="L30" s="29">
        <v>8.7409999999999997</v>
      </c>
      <c r="M30" s="29">
        <v>9.8620000000000001</v>
      </c>
      <c r="N30" s="29">
        <v>20.518999999999998</v>
      </c>
      <c r="O30" s="27">
        <v>932</v>
      </c>
      <c r="P30" s="27">
        <v>300</v>
      </c>
      <c r="Q30" s="27">
        <v>1</v>
      </c>
      <c r="R30" s="29">
        <v>8.10159555382908</v>
      </c>
      <c r="S30" s="29">
        <v>2.694961778088905</v>
      </c>
      <c r="T30" s="29">
        <v>9.4215999946808502</v>
      </c>
      <c r="U30" s="27">
        <v>901</v>
      </c>
      <c r="V30" s="29">
        <v>1.0038633740288569</v>
      </c>
      <c r="W30" s="29">
        <v>3.9180128745837961</v>
      </c>
      <c r="X30" s="29">
        <v>1.198104876803552</v>
      </c>
      <c r="Y30" s="29">
        <v>0.624</v>
      </c>
      <c r="Z30" s="29">
        <v>0.995</v>
      </c>
      <c r="AA30" s="29">
        <v>0.79900000000000004</v>
      </c>
      <c r="AB30" s="29">
        <v>0.26800000000000002</v>
      </c>
      <c r="AC30" s="27">
        <v>50.878</v>
      </c>
      <c r="AD30" s="27">
        <v>2921</v>
      </c>
      <c r="AE30" s="27">
        <v>1021</v>
      </c>
      <c r="AF30" s="27">
        <v>1900</v>
      </c>
      <c r="AG30" s="27">
        <v>933</v>
      </c>
      <c r="AH30" s="27">
        <v>2848</v>
      </c>
      <c r="AI30" s="27">
        <v>315</v>
      </c>
      <c r="AJ30" s="27">
        <v>0</v>
      </c>
      <c r="AK30" s="27">
        <v>0</v>
      </c>
      <c r="AL30" s="24" t="s">
        <v>103</v>
      </c>
      <c r="AM30" s="24" t="s">
        <v>72</v>
      </c>
      <c r="AN30" s="24" t="s">
        <v>152</v>
      </c>
    </row>
    <row r="31" spans="1:40" x14ac:dyDescent="0.25">
      <c r="A31" s="24" t="s">
        <v>153</v>
      </c>
      <c r="B31" s="26">
        <v>46319.997349537043</v>
      </c>
      <c r="C31" s="24" t="s">
        <v>154</v>
      </c>
      <c r="D31" s="24" t="s">
        <v>82</v>
      </c>
      <c r="E31" s="24" t="s">
        <v>68</v>
      </c>
      <c r="F31" s="24" t="s">
        <v>102</v>
      </c>
      <c r="G31" s="24" t="s">
        <v>70</v>
      </c>
      <c r="H31" s="24" t="s">
        <v>71</v>
      </c>
      <c r="I31" s="27">
        <v>15</v>
      </c>
      <c r="J31" s="28">
        <v>259.20999999999998</v>
      </c>
      <c r="K31" s="29">
        <v>2.6539999999999999</v>
      </c>
      <c r="L31" s="29">
        <v>8.4369999999999994</v>
      </c>
      <c r="M31" s="29">
        <v>9.5809999999999995</v>
      </c>
      <c r="N31" s="29">
        <v>17.983000000000001</v>
      </c>
      <c r="O31" s="27">
        <v>922</v>
      </c>
      <c r="P31" s="27">
        <v>217</v>
      </c>
      <c r="Q31" s="27">
        <v>1</v>
      </c>
      <c r="R31" s="29">
        <v>7.8599018933333333</v>
      </c>
      <c r="S31" s="29">
        <v>2.6488426616516221</v>
      </c>
      <c r="T31" s="29">
        <v>9.1362826051282049</v>
      </c>
      <c r="U31" s="27">
        <v>900</v>
      </c>
      <c r="V31" s="29">
        <v>0.99076711111111104</v>
      </c>
      <c r="W31" s="29">
        <v>3.771190555555556</v>
      </c>
      <c r="X31" s="29">
        <v>1.159957115555555</v>
      </c>
      <c r="Y31" s="29">
        <v>0.61199999999999999</v>
      </c>
      <c r="Z31" s="29">
        <v>0.97399999999999998</v>
      </c>
      <c r="AA31" s="29">
        <v>0.78700000000000003</v>
      </c>
      <c r="AB31" s="29">
        <v>0.26200000000000001</v>
      </c>
      <c r="AC31" s="27">
        <v>49.399000000000001</v>
      </c>
      <c r="AD31" s="27">
        <v>2933.5</v>
      </c>
      <c r="AE31" s="27">
        <v>796.5</v>
      </c>
      <c r="AF31" s="27">
        <v>1900</v>
      </c>
      <c r="AG31" s="27">
        <v>933</v>
      </c>
      <c r="AH31" s="27">
        <v>2848</v>
      </c>
      <c r="AI31" s="27">
        <v>324.5</v>
      </c>
      <c r="AJ31" s="27">
        <v>3</v>
      </c>
      <c r="AK31" s="27">
        <v>0</v>
      </c>
      <c r="AL31" s="24" t="s">
        <v>103</v>
      </c>
      <c r="AM31" s="24" t="s">
        <v>72</v>
      </c>
      <c r="AN31" s="24" t="s">
        <v>155</v>
      </c>
    </row>
    <row r="32" spans="1:40" x14ac:dyDescent="0.25">
      <c r="A32" s="24" t="s">
        <v>156</v>
      </c>
      <c r="B32" s="26">
        <v>46319.997974537036</v>
      </c>
      <c r="C32" s="24" t="s">
        <v>157</v>
      </c>
      <c r="D32" s="24" t="s">
        <v>82</v>
      </c>
      <c r="E32" s="24" t="s">
        <v>68</v>
      </c>
      <c r="F32" s="24" t="s">
        <v>102</v>
      </c>
      <c r="G32" s="24" t="s">
        <v>70</v>
      </c>
      <c r="H32" s="24" t="s">
        <v>71</v>
      </c>
      <c r="I32" s="27">
        <v>15</v>
      </c>
      <c r="J32" s="28">
        <v>259.66000000000003</v>
      </c>
      <c r="K32" s="29">
        <v>2.6709999999999998</v>
      </c>
      <c r="L32" s="29">
        <v>8.3670000000000009</v>
      </c>
      <c r="M32" s="29">
        <v>9.593</v>
      </c>
      <c r="N32" s="29">
        <v>17.75</v>
      </c>
      <c r="O32" s="27">
        <v>923</v>
      </c>
      <c r="P32" s="27">
        <v>205</v>
      </c>
      <c r="Q32" s="27">
        <v>1</v>
      </c>
      <c r="R32" s="29">
        <v>7.8389170754716977</v>
      </c>
      <c r="S32" s="29">
        <v>2.6476356690023359</v>
      </c>
      <c r="T32" s="29">
        <v>9.2356753641025637</v>
      </c>
      <c r="U32" s="27">
        <v>901</v>
      </c>
      <c r="V32" s="29">
        <v>0.99620044395116536</v>
      </c>
      <c r="W32" s="29">
        <v>3.7813128745837958</v>
      </c>
      <c r="X32" s="29">
        <v>1.229554922308546</v>
      </c>
      <c r="Y32" s="29">
        <v>0.626</v>
      </c>
      <c r="Z32" s="29">
        <v>0.92200000000000004</v>
      </c>
      <c r="AA32" s="29">
        <v>0.80100000000000005</v>
      </c>
      <c r="AB32" s="29">
        <v>0.26400000000000001</v>
      </c>
      <c r="AC32" s="27">
        <v>32.201999999999998</v>
      </c>
      <c r="AD32" s="27">
        <v>2921.5</v>
      </c>
      <c r="AE32" s="27">
        <v>784.5</v>
      </c>
      <c r="AF32" s="27">
        <v>1900</v>
      </c>
      <c r="AG32" s="27">
        <v>933</v>
      </c>
      <c r="AH32" s="27">
        <v>2848</v>
      </c>
      <c r="AI32" s="27">
        <v>315.5</v>
      </c>
      <c r="AJ32" s="27">
        <v>0</v>
      </c>
      <c r="AK32" s="27">
        <v>0</v>
      </c>
      <c r="AL32" s="24" t="s">
        <v>103</v>
      </c>
      <c r="AM32" s="24" t="s">
        <v>72</v>
      </c>
      <c r="AN32" s="24" t="s">
        <v>158</v>
      </c>
    </row>
    <row r="33" spans="1:40" x14ac:dyDescent="0.25">
      <c r="A33" s="24" t="s">
        <v>159</v>
      </c>
      <c r="B33" s="26">
        <v>46320.000578703701</v>
      </c>
      <c r="C33" s="24" t="s">
        <v>160</v>
      </c>
      <c r="D33" s="24" t="s">
        <v>161</v>
      </c>
      <c r="E33" s="24" t="s">
        <v>68</v>
      </c>
      <c r="F33" s="24" t="s">
        <v>108</v>
      </c>
      <c r="G33" s="24" t="s">
        <v>70</v>
      </c>
      <c r="H33" s="24" t="s">
        <v>71</v>
      </c>
      <c r="I33" s="27">
        <v>30</v>
      </c>
      <c r="J33" s="28">
        <v>203.39</v>
      </c>
      <c r="K33" s="29">
        <v>2.9020000000000001</v>
      </c>
      <c r="L33" s="29">
        <v>10.718</v>
      </c>
      <c r="M33" s="29">
        <v>12.411</v>
      </c>
      <c r="N33" s="29">
        <v>22.199000000000002</v>
      </c>
      <c r="O33" s="27">
        <v>1885</v>
      </c>
      <c r="P33" s="27">
        <v>1803</v>
      </c>
      <c r="Q33" s="27">
        <v>1</v>
      </c>
      <c r="R33" s="29">
        <v>9.8625949472222221</v>
      </c>
      <c r="S33" s="29">
        <v>2.844269354089219</v>
      </c>
      <c r="T33" s="29">
        <v>11.724451633986931</v>
      </c>
      <c r="U33" s="27">
        <v>1800</v>
      </c>
      <c r="V33" s="29">
        <v>1.4221688333333331</v>
      </c>
      <c r="W33" s="29">
        <v>3.2642959444444442</v>
      </c>
      <c r="X33" s="29">
        <v>3.174484225</v>
      </c>
      <c r="Y33" s="29">
        <v>0.69399999999999995</v>
      </c>
      <c r="Z33" s="29">
        <v>1.006</v>
      </c>
      <c r="AA33" s="29">
        <v>0.83399999999999996</v>
      </c>
      <c r="AB33" s="29">
        <v>0.29199999999999998</v>
      </c>
      <c r="AC33" s="27">
        <v>51.58</v>
      </c>
      <c r="AD33" s="27">
        <v>2928.5</v>
      </c>
      <c r="AE33" s="27">
        <v>2928.5</v>
      </c>
      <c r="AF33" s="27">
        <v>0</v>
      </c>
      <c r="AG33" s="27">
        <v>933</v>
      </c>
      <c r="AH33" s="27">
        <v>2848</v>
      </c>
      <c r="AI33" s="27">
        <v>320.5</v>
      </c>
      <c r="AJ33" s="27">
        <v>2</v>
      </c>
      <c r="AK33" s="27">
        <v>1</v>
      </c>
      <c r="AL33" s="24" t="s">
        <v>103</v>
      </c>
      <c r="AM33" s="24" t="s">
        <v>72</v>
      </c>
      <c r="AN33" s="24" t="s">
        <v>162</v>
      </c>
    </row>
    <row r="34" spans="1:40" x14ac:dyDescent="0.25">
      <c r="A34" s="24" t="s">
        <v>163</v>
      </c>
      <c r="B34" s="26">
        <v>46320.001770833333</v>
      </c>
      <c r="C34" s="24" t="s">
        <v>164</v>
      </c>
      <c r="D34" s="24" t="s">
        <v>161</v>
      </c>
      <c r="E34" s="24" t="s">
        <v>68</v>
      </c>
      <c r="F34" s="24" t="s">
        <v>102</v>
      </c>
      <c r="G34" s="24" t="s">
        <v>70</v>
      </c>
      <c r="H34" s="24" t="s">
        <v>71</v>
      </c>
      <c r="I34" s="27">
        <v>30</v>
      </c>
      <c r="J34" s="28">
        <v>267.23</v>
      </c>
      <c r="K34" s="29">
        <v>2.5680000000000001</v>
      </c>
      <c r="L34" s="29">
        <v>8.3439999999999994</v>
      </c>
      <c r="M34" s="29">
        <v>9.59</v>
      </c>
      <c r="N34" s="29">
        <v>15.609</v>
      </c>
      <c r="O34" s="27">
        <v>1834</v>
      </c>
      <c r="P34" s="27">
        <v>406</v>
      </c>
      <c r="Q34" s="27">
        <v>0</v>
      </c>
      <c r="R34" s="29">
        <v>7.7426693436979459</v>
      </c>
      <c r="S34" s="29">
        <v>2.581629216915903</v>
      </c>
      <c r="T34" s="29">
        <v>9.1038618129675815</v>
      </c>
      <c r="U34" s="27">
        <v>1801</v>
      </c>
      <c r="V34" s="29">
        <v>0.96219522487506948</v>
      </c>
      <c r="W34" s="29">
        <v>3.8006915047195999</v>
      </c>
      <c r="X34" s="29">
        <v>1.1359039911160469</v>
      </c>
      <c r="Y34" s="29">
        <v>0.58399999999999996</v>
      </c>
      <c r="Z34" s="29">
        <v>0.95599999999999996</v>
      </c>
      <c r="AA34" s="29">
        <v>0.76300000000000001</v>
      </c>
      <c r="AB34" s="29">
        <v>0.249</v>
      </c>
      <c r="AC34" s="27">
        <v>51.814999999999998</v>
      </c>
      <c r="AD34" s="27">
        <v>2925</v>
      </c>
      <c r="AE34" s="27">
        <v>1025</v>
      </c>
      <c r="AF34" s="27">
        <v>1900</v>
      </c>
      <c r="AG34" s="27">
        <v>933</v>
      </c>
      <c r="AH34" s="27">
        <v>2848</v>
      </c>
      <c r="AI34" s="27">
        <v>317.66699999999997</v>
      </c>
      <c r="AJ34" s="27">
        <v>1.333</v>
      </c>
      <c r="AK34" s="27">
        <v>1</v>
      </c>
      <c r="AL34" s="24" t="s">
        <v>103</v>
      </c>
      <c r="AM34" s="24" t="s">
        <v>72</v>
      </c>
      <c r="AN34" s="24" t="s">
        <v>162</v>
      </c>
    </row>
    <row r="35" spans="1:40" x14ac:dyDescent="0.25">
      <c r="A35" s="24" t="s">
        <v>165</v>
      </c>
      <c r="B35" s="26">
        <v>46320.002974537027</v>
      </c>
      <c r="C35" s="24" t="s">
        <v>166</v>
      </c>
      <c r="D35" s="24" t="s">
        <v>161</v>
      </c>
      <c r="E35" s="24" t="s">
        <v>68</v>
      </c>
      <c r="F35" s="24" t="s">
        <v>69</v>
      </c>
      <c r="G35" s="24" t="s">
        <v>70</v>
      </c>
      <c r="H35" s="24" t="s">
        <v>71</v>
      </c>
      <c r="I35" s="27">
        <v>30</v>
      </c>
      <c r="J35" s="28">
        <v>65.069999999999993</v>
      </c>
      <c r="K35" s="29">
        <v>15.51</v>
      </c>
      <c r="L35" s="29">
        <v>19.789000000000001</v>
      </c>
      <c r="M35" s="29">
        <v>29.535</v>
      </c>
      <c r="N35" s="29">
        <v>41.484999999999999</v>
      </c>
      <c r="O35" s="27">
        <v>1855</v>
      </c>
      <c r="P35" s="27">
        <v>1763</v>
      </c>
      <c r="Q35" s="27">
        <v>696</v>
      </c>
      <c r="R35" s="29">
        <v>16.554296424517599</v>
      </c>
      <c r="S35" s="29">
        <v>4.2929832460732982</v>
      </c>
      <c r="T35" s="29">
        <v>24.599073469387761</v>
      </c>
      <c r="U35" s="27">
        <v>1762</v>
      </c>
      <c r="V35" s="29">
        <v>2.2636773552780931</v>
      </c>
      <c r="W35" s="29">
        <v>9.1654428490351876</v>
      </c>
      <c r="X35" s="29">
        <v>3.1693048808172528</v>
      </c>
      <c r="Y35" s="29">
        <v>0.72599999999999998</v>
      </c>
      <c r="Z35" s="29">
        <v>1.113</v>
      </c>
      <c r="AA35" s="29">
        <v>0.98199999999999998</v>
      </c>
      <c r="AB35" s="29">
        <v>0.28899999999999998</v>
      </c>
      <c r="AC35" s="27">
        <v>51.859000000000002</v>
      </c>
      <c r="AD35" s="27">
        <v>2919.3330000000001</v>
      </c>
      <c r="AE35" s="27">
        <v>2919.3330000000001</v>
      </c>
      <c r="AF35" s="27">
        <v>0</v>
      </c>
      <c r="AG35" s="27">
        <v>933</v>
      </c>
      <c r="AH35" s="27">
        <v>2848</v>
      </c>
      <c r="AI35" s="27">
        <v>313.33300000000003</v>
      </c>
      <c r="AJ35" s="27">
        <v>0</v>
      </c>
      <c r="AK35" s="27">
        <v>1</v>
      </c>
      <c r="AL35" s="24" t="s">
        <v>103</v>
      </c>
      <c r="AM35" s="24" t="s">
        <v>72</v>
      </c>
      <c r="AN35" s="24" t="s">
        <v>162</v>
      </c>
    </row>
    <row r="36" spans="1:40" x14ac:dyDescent="0.25">
      <c r="A36" s="24" t="s">
        <v>167</v>
      </c>
      <c r="B36" s="26">
        <v>46320.004166666673</v>
      </c>
      <c r="C36" s="24" t="s">
        <v>168</v>
      </c>
      <c r="D36" s="24" t="s">
        <v>161</v>
      </c>
      <c r="E36" s="24" t="s">
        <v>68</v>
      </c>
      <c r="F36" s="24" t="s">
        <v>69</v>
      </c>
      <c r="G36" s="24" t="s">
        <v>70</v>
      </c>
      <c r="H36" s="24" t="s">
        <v>71</v>
      </c>
      <c r="I36" s="27">
        <v>30</v>
      </c>
      <c r="J36" s="28">
        <v>70.05</v>
      </c>
      <c r="K36" s="29">
        <v>14.987</v>
      </c>
      <c r="L36" s="29">
        <v>18.901</v>
      </c>
      <c r="M36" s="29">
        <v>27.262</v>
      </c>
      <c r="N36" s="29">
        <v>40.65</v>
      </c>
      <c r="O36" s="27">
        <v>2015</v>
      </c>
      <c r="P36" s="27">
        <v>1781</v>
      </c>
      <c r="Q36" s="27">
        <v>614</v>
      </c>
      <c r="R36" s="29">
        <v>16.040188251826869</v>
      </c>
      <c r="S36" s="29">
        <v>4.4997296296296296</v>
      </c>
      <c r="T36" s="29">
        <v>22.094395283018869</v>
      </c>
      <c r="U36" s="27">
        <v>1779</v>
      </c>
      <c r="V36" s="29">
        <v>2.224009274873525</v>
      </c>
      <c r="W36" s="29">
        <v>8.7329256323777411</v>
      </c>
      <c r="X36" s="29">
        <v>3.1585924676784711</v>
      </c>
      <c r="Y36" s="29">
        <v>0.70899999999999996</v>
      </c>
      <c r="Z36" s="29">
        <v>1.081</v>
      </c>
      <c r="AA36" s="29">
        <v>0.97799999999999998</v>
      </c>
      <c r="AB36" s="29">
        <v>0.41199999999999998</v>
      </c>
      <c r="AC36" s="27">
        <v>51.968000000000004</v>
      </c>
      <c r="AD36" s="27">
        <v>2918.3330000000001</v>
      </c>
      <c r="AE36" s="27">
        <v>2918.3330000000001</v>
      </c>
      <c r="AF36" s="27">
        <v>0</v>
      </c>
      <c r="AG36" s="27">
        <v>933</v>
      </c>
      <c r="AH36" s="27">
        <v>2848</v>
      </c>
      <c r="AI36" s="27">
        <v>312</v>
      </c>
      <c r="AJ36" s="27">
        <v>0.33300000000000002</v>
      </c>
      <c r="AK36" s="27">
        <v>1</v>
      </c>
      <c r="AL36" s="24" t="s">
        <v>103</v>
      </c>
      <c r="AM36" s="24" t="s">
        <v>72</v>
      </c>
      <c r="AN36" s="24" t="s">
        <v>162</v>
      </c>
    </row>
    <row r="37" spans="1:40" x14ac:dyDescent="0.25">
      <c r="A37" s="24" t="s">
        <v>169</v>
      </c>
      <c r="B37" s="26">
        <v>46320.005347222221</v>
      </c>
      <c r="C37" s="24" t="s">
        <v>170</v>
      </c>
      <c r="D37" s="24" t="s">
        <v>161</v>
      </c>
      <c r="E37" s="24" t="s">
        <v>68</v>
      </c>
      <c r="F37" s="24" t="s">
        <v>102</v>
      </c>
      <c r="G37" s="24" t="s">
        <v>70</v>
      </c>
      <c r="H37" s="24" t="s">
        <v>71</v>
      </c>
      <c r="I37" s="27">
        <v>30</v>
      </c>
      <c r="J37" s="28">
        <v>276.66000000000003</v>
      </c>
      <c r="K37" s="29">
        <v>2.5259999999999998</v>
      </c>
      <c r="L37" s="29">
        <v>8.0579999999999998</v>
      </c>
      <c r="M37" s="29">
        <v>9.2249999999999996</v>
      </c>
      <c r="N37" s="29">
        <v>15.933999999999999</v>
      </c>
      <c r="O37" s="27">
        <v>1833</v>
      </c>
      <c r="P37" s="27">
        <v>288</v>
      </c>
      <c r="Q37" s="27">
        <v>0</v>
      </c>
      <c r="R37" s="29">
        <v>7.5320838255555556</v>
      </c>
      <c r="S37" s="29">
        <v>2.5281494693124129</v>
      </c>
      <c r="T37" s="29">
        <v>8.844498278846153</v>
      </c>
      <c r="U37" s="27">
        <v>1800</v>
      </c>
      <c r="V37" s="29">
        <v>0.93861627777777779</v>
      </c>
      <c r="W37" s="29">
        <v>3.5953138888888891</v>
      </c>
      <c r="X37" s="29">
        <v>1.149784603333333</v>
      </c>
      <c r="Y37" s="29">
        <v>0.57599999999999996</v>
      </c>
      <c r="Z37" s="29">
        <v>0.93899999999999995</v>
      </c>
      <c r="AA37" s="29">
        <v>0.76100000000000001</v>
      </c>
      <c r="AB37" s="29">
        <v>0.23799999999999999</v>
      </c>
      <c r="AC37" s="27">
        <v>51.847000000000001</v>
      </c>
      <c r="AD37" s="27">
        <v>2928.5</v>
      </c>
      <c r="AE37" s="27">
        <v>1028.5</v>
      </c>
      <c r="AF37" s="27">
        <v>1900</v>
      </c>
      <c r="AG37" s="27">
        <v>933</v>
      </c>
      <c r="AH37" s="27">
        <v>2848</v>
      </c>
      <c r="AI37" s="27">
        <v>317</v>
      </c>
      <c r="AJ37" s="27">
        <v>5.5</v>
      </c>
      <c r="AK37" s="27">
        <v>1</v>
      </c>
      <c r="AL37" s="24" t="s">
        <v>103</v>
      </c>
      <c r="AM37" s="24" t="s">
        <v>72</v>
      </c>
      <c r="AN37" s="24" t="s">
        <v>162</v>
      </c>
    </row>
    <row r="38" spans="1:40" x14ac:dyDescent="0.25">
      <c r="A38" s="24" t="s">
        <v>171</v>
      </c>
      <c r="B38" s="26">
        <v>46320.006527777783</v>
      </c>
      <c r="C38" s="24" t="s">
        <v>172</v>
      </c>
      <c r="D38" s="24" t="s">
        <v>161</v>
      </c>
      <c r="E38" s="24" t="s">
        <v>68</v>
      </c>
      <c r="F38" s="24" t="s">
        <v>108</v>
      </c>
      <c r="G38" s="24" t="s">
        <v>70</v>
      </c>
      <c r="H38" s="24" t="s">
        <v>71</v>
      </c>
      <c r="I38" s="27">
        <v>30</v>
      </c>
      <c r="J38" s="28">
        <v>209.45</v>
      </c>
      <c r="K38" s="29">
        <v>2.91</v>
      </c>
      <c r="L38" s="29">
        <v>10.276</v>
      </c>
      <c r="M38" s="29">
        <v>11.427</v>
      </c>
      <c r="N38" s="29">
        <v>21.885999999999999</v>
      </c>
      <c r="O38" s="27">
        <v>1880</v>
      </c>
      <c r="P38" s="27">
        <v>1788</v>
      </c>
      <c r="Q38" s="27">
        <v>1</v>
      </c>
      <c r="R38" s="29">
        <v>9.5621724031093827</v>
      </c>
      <c r="S38" s="29">
        <v>2.8484740086937141</v>
      </c>
      <c r="T38" s="29">
        <v>11.00190412698413</v>
      </c>
      <c r="U38" s="27">
        <v>1801</v>
      </c>
      <c r="V38" s="29">
        <v>1.38998856191005</v>
      </c>
      <c r="W38" s="29">
        <v>2.9933347584675181</v>
      </c>
      <c r="X38" s="29">
        <v>3.165405107162687</v>
      </c>
      <c r="Y38" s="29">
        <v>0.69899999999999995</v>
      </c>
      <c r="Z38" s="29">
        <v>0.995</v>
      </c>
      <c r="AA38" s="29">
        <v>0.86199999999999999</v>
      </c>
      <c r="AB38" s="29">
        <v>0.28899999999999998</v>
      </c>
      <c r="AC38" s="27">
        <v>51.887999999999998</v>
      </c>
      <c r="AD38" s="27">
        <v>2928.5</v>
      </c>
      <c r="AE38" s="27">
        <v>2928.5</v>
      </c>
      <c r="AF38" s="27">
        <v>0</v>
      </c>
      <c r="AG38" s="27">
        <v>933</v>
      </c>
      <c r="AH38" s="27">
        <v>2848</v>
      </c>
      <c r="AI38" s="27">
        <v>318.5</v>
      </c>
      <c r="AJ38" s="27">
        <v>4</v>
      </c>
      <c r="AK38" s="27">
        <v>1</v>
      </c>
      <c r="AL38" s="24" t="s">
        <v>103</v>
      </c>
      <c r="AM38" s="24" t="s">
        <v>72</v>
      </c>
      <c r="AN38" s="24" t="s">
        <v>162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baseColWidth="10" defaultColWidth="9.140625" defaultRowHeight="15" x14ac:dyDescent="0.25"/>
  <cols>
    <col min="1" max="1" width="34" customWidth="1"/>
    <col min="2" max="2" width="110" customWidth="1"/>
  </cols>
  <sheetData>
    <row r="1" spans="1:2" ht="18" x14ac:dyDescent="0.25">
      <c r="A1" s="1" t="s">
        <v>173</v>
      </c>
      <c r="B1" s="2"/>
    </row>
    <row r="2" spans="1:2" x14ac:dyDescent="0.25">
      <c r="A2" s="2"/>
      <c r="B2" s="2"/>
    </row>
    <row r="3" spans="1:2" x14ac:dyDescent="0.25">
      <c r="A3" s="30" t="s">
        <v>174</v>
      </c>
      <c r="B3" s="31"/>
    </row>
    <row r="4" spans="1:2" x14ac:dyDescent="0.25">
      <c r="A4" s="32" t="s">
        <v>175</v>
      </c>
      <c r="B4" s="31" t="s">
        <v>176</v>
      </c>
    </row>
    <row r="5" spans="1:2" ht="38.25" x14ac:dyDescent="0.25">
      <c r="A5" s="32" t="s">
        <v>177</v>
      </c>
      <c r="B5" s="31" t="s">
        <v>178</v>
      </c>
    </row>
    <row r="6" spans="1:2" ht="25.5" x14ac:dyDescent="0.25">
      <c r="A6" s="32" t="s">
        <v>179</v>
      </c>
      <c r="B6" s="31" t="s">
        <v>180</v>
      </c>
    </row>
    <row r="7" spans="1:2" ht="25.5" x14ac:dyDescent="0.25">
      <c r="A7" s="32" t="s">
        <v>181</v>
      </c>
      <c r="B7" s="31" t="s">
        <v>182</v>
      </c>
    </row>
    <row r="8" spans="1:2" ht="25.5" x14ac:dyDescent="0.25">
      <c r="A8" s="32" t="s">
        <v>36</v>
      </c>
      <c r="B8" s="31" t="s">
        <v>183</v>
      </c>
    </row>
    <row r="9" spans="1:2" ht="25.5" x14ac:dyDescent="0.25">
      <c r="A9" s="32" t="s">
        <v>82</v>
      </c>
      <c r="B9" s="31" t="s">
        <v>184</v>
      </c>
    </row>
    <row r="10" spans="1:2" x14ac:dyDescent="0.25">
      <c r="A10" s="30"/>
      <c r="B10" s="31"/>
    </row>
    <row r="11" spans="1:2" x14ac:dyDescent="0.25">
      <c r="A11" s="30" t="s">
        <v>185</v>
      </c>
      <c r="B11" s="31"/>
    </row>
    <row r="12" spans="1:2" x14ac:dyDescent="0.25">
      <c r="A12" s="32" t="s">
        <v>6</v>
      </c>
      <c r="B12" s="31" t="s">
        <v>186</v>
      </c>
    </row>
    <row r="13" spans="1:2" x14ac:dyDescent="0.25">
      <c r="A13" s="32" t="s">
        <v>187</v>
      </c>
      <c r="B13" s="31" t="s">
        <v>188</v>
      </c>
    </row>
    <row r="14" spans="1:2" x14ac:dyDescent="0.25">
      <c r="A14" s="32" t="s">
        <v>189</v>
      </c>
      <c r="B14" s="31" t="s">
        <v>190</v>
      </c>
    </row>
    <row r="15" spans="1:2" x14ac:dyDescent="0.25">
      <c r="A15" s="32" t="s">
        <v>191</v>
      </c>
      <c r="B15" s="31" t="s">
        <v>192</v>
      </c>
    </row>
    <row r="16" spans="1:2" x14ac:dyDescent="0.25">
      <c r="A16" s="32" t="s">
        <v>193</v>
      </c>
      <c r="B16" s="31" t="s">
        <v>194</v>
      </c>
    </row>
    <row r="17" spans="1:2" x14ac:dyDescent="0.25">
      <c r="A17" s="32" t="s">
        <v>195</v>
      </c>
      <c r="B17" s="31" t="s">
        <v>196</v>
      </c>
    </row>
    <row r="18" spans="1:2" ht="38.25" x14ac:dyDescent="0.25">
      <c r="A18" s="32" t="s">
        <v>197</v>
      </c>
      <c r="B18" s="31" t="s">
        <v>198</v>
      </c>
    </row>
    <row r="19" spans="1:2" ht="25.5" x14ac:dyDescent="0.25">
      <c r="A19" s="32" t="s">
        <v>199</v>
      </c>
      <c r="B19" s="31" t="s">
        <v>200</v>
      </c>
    </row>
    <row r="20" spans="1:2" x14ac:dyDescent="0.25">
      <c r="A20" s="32" t="s">
        <v>201</v>
      </c>
      <c r="B20" s="31" t="s">
        <v>202</v>
      </c>
    </row>
    <row r="21" spans="1:2" ht="38.25" x14ac:dyDescent="0.25">
      <c r="A21" s="32" t="s">
        <v>203</v>
      </c>
      <c r="B21" s="31" t="s">
        <v>204</v>
      </c>
    </row>
    <row r="22" spans="1:2" x14ac:dyDescent="0.25">
      <c r="A22" s="32" t="s">
        <v>61</v>
      </c>
      <c r="B22" s="31" t="s">
        <v>205</v>
      </c>
    </row>
    <row r="23" spans="1:2" x14ac:dyDescent="0.25">
      <c r="A23" s="32" t="s">
        <v>37</v>
      </c>
      <c r="B23" s="31" t="s">
        <v>206</v>
      </c>
    </row>
    <row r="24" spans="1:2" x14ac:dyDescent="0.25">
      <c r="A24" s="30"/>
      <c r="B24" s="31"/>
    </row>
    <row r="25" spans="1:2" x14ac:dyDescent="0.25">
      <c r="A25" s="30" t="s">
        <v>207</v>
      </c>
      <c r="B25" s="31"/>
    </row>
    <row r="26" spans="1:2" x14ac:dyDescent="0.25">
      <c r="A26" s="32" t="s">
        <v>208</v>
      </c>
      <c r="B26" s="31" t="s">
        <v>209</v>
      </c>
    </row>
    <row r="27" spans="1:2" ht="25.5" x14ac:dyDescent="0.25">
      <c r="A27" s="32" t="s">
        <v>210</v>
      </c>
      <c r="B27" s="31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All Runs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</dc:creator>
  <cp:lastModifiedBy>nexus</cp:lastModifiedBy>
  <dcterms:created xsi:type="dcterms:W3CDTF">2026-10-24T22:46:01Z</dcterms:created>
  <dcterms:modified xsi:type="dcterms:W3CDTF">2026-10-24T22:46:06Z</dcterms:modified>
</cp:coreProperties>
</file>